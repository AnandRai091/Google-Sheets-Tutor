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<sst xmlns="http://schemas.openxmlformats.org/spreadsheetml/2006/main" count="24" uniqueCount="24">
  <si>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Revenue growth % after 2024</t>
  </si>
  <si>
    <t>Investment</t>
  </si>
  <si>
    <t>Tools</t>
  </si>
  <si>
    <t>Machinery</t>
  </si>
  <si>
    <t>Land</t>
  </si>
  <si>
    <t>Building</t>
  </si>
  <si>
    <t>Total Investment</t>
  </si>
  <si>
    <t>Change in Working Capital</t>
  </si>
  <si>
    <t>Revenue / Income</t>
  </si>
  <si>
    <t>Additional revenue</t>
  </si>
  <si>
    <t>Productivity Savings</t>
  </si>
  <si>
    <t>Energy Savings</t>
  </si>
  <si>
    <t>Total Revenue / Income</t>
  </si>
  <si>
    <t>Cost</t>
  </si>
  <si>
    <t>Material expenses</t>
  </si>
  <si>
    <t>One-Time Impact - Training</t>
  </si>
  <si>
    <t>One-Time Impact - Relocation</t>
  </si>
  <si>
    <t>Total Cost</t>
  </si>
  <si>
    <t>PbT (Revenue - Cost)</t>
  </si>
  <si>
    <t>Income Tax (25%)</t>
  </si>
  <si>
    <t>PaT</t>
  </si>
  <si>
    <t>Cash Flow</t>
  </si>
  <si>
    <t>Discount Factor</t>
  </si>
  <si>
    <t>Net Present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</si>
</sst>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10" xfId="0" applyFill="1" applyFont="1" applyNumberFormat="1"/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1" fillId="0" fontId="1" numFmtId="3" xfId="0" applyAlignment="1" applyBorder="1" applyFont="1" applyNumberFormat="1">
      <alignment readingOrder="0"/>
    </xf>
    <xf borderId="1" fillId="0" fontId="1" numFmtId="3" xfId="0" applyBorder="1" applyFont="1" applyNumberFormat="1"/>
    <xf borderId="0" fillId="3" fontId="1" numFmtId="3" xfId="0" applyFill="1" applyFont="1" applyNumberFormat="1"/>
    <xf borderId="0" fillId="3" fontId="1" numFmtId="3" xfId="0" applyAlignment="1" applyFont="1" applyNumberFormat="1">
      <alignment readingOrder="0"/>
    </xf>
    <xf borderId="0" fillId="3" fontId="2" numFmtId="3" xfId="0" applyFont="1" applyNumberFormat="1"/>
    <xf borderId="0" fillId="3" fontId="2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3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1" t="s">
        <v>0</v>
      </c>
      <c r="B1" s="2">
        <v>0.10554097869433463</v>
      </c>
    </row>
    <row r="3">
      <c r="B3" s="3">
        <v>2020.0</v>
      </c>
      <c r="C3" s="3">
        <v>2021.0</v>
      </c>
      <c r="D3" s="3">
        <v>2022.0</v>
      </c>
      <c r="E3" s="3">
        <v>2023.0</v>
      </c>
      <c r="F3" s="3">
        <v>2024.0</v>
      </c>
      <c r="G3" s="3">
        <v>2025.0</v>
      </c>
      <c r="H3" s="3">
        <v>2026.0</v>
      </c>
      <c r="I3" s="3">
        <v>2027.0</v>
      </c>
      <c r="J3" s="3">
        <v>2028.0</v>
      </c>
    </row>
    <row r="4">
      <c r="A4" s="3" t="s">
        <v>1</v>
      </c>
    </row>
    <row r="5">
      <c r="A5" s="1" t="s">
        <v>2</v>
      </c>
      <c r="B5" s="4">
        <v>-50000.0</v>
      </c>
      <c r="C5" s="5"/>
      <c r="D5" s="5"/>
      <c r="E5" s="5"/>
      <c r="F5" s="5"/>
      <c r="G5" s="5"/>
      <c r="H5" s="5"/>
      <c r="I5" s="5"/>
      <c r="J5" s="5"/>
    </row>
    <row r="6">
      <c r="A6" s="1" t="s">
        <v>3</v>
      </c>
      <c r="B6" s="4">
        <v>-150000.0</v>
      </c>
      <c r="C6" s="4">
        <v>-60000.0</v>
      </c>
      <c r="D6" s="5"/>
      <c r="E6" s="5"/>
      <c r="F6" s="5"/>
      <c r="G6" s="5"/>
      <c r="H6" s="5"/>
      <c r="I6" s="5"/>
      <c r="J6" s="5"/>
    </row>
    <row r="7">
      <c r="A7" s="1" t="s">
        <v>4</v>
      </c>
      <c r="B7" s="5"/>
      <c r="C7" s="5"/>
      <c r="D7" s="5"/>
      <c r="E7" s="5"/>
      <c r="F7" s="5"/>
      <c r="G7" s="5"/>
      <c r="H7" s="5"/>
      <c r="I7" s="5"/>
      <c r="J7" s="5"/>
    </row>
    <row r="8">
      <c r="A8" s="1" t="s">
        <v>5</v>
      </c>
      <c r="B8" s="6">
        <v>-250000.0</v>
      </c>
      <c r="C8" s="7"/>
      <c r="D8" s="7"/>
      <c r="E8" s="7"/>
      <c r="F8" s="7"/>
      <c r="G8" s="7"/>
      <c r="H8" s="7"/>
      <c r="I8" s="7"/>
      <c r="J8" s="7"/>
    </row>
    <row r="9">
      <c r="A9" s="1" t="s">
        <v>6</v>
      </c>
      <c r="B9" s="8">
        <f t="shared" ref="B9:J9" si="1">SUM(B5:B8)</f>
        <v>-450000</v>
      </c>
      <c r="C9" s="8">
        <f t="shared" si="1"/>
        <v>-60000</v>
      </c>
      <c r="D9" s="8">
        <f t="shared" si="1"/>
        <v>0</v>
      </c>
      <c r="E9" s="8">
        <f t="shared" si="1"/>
        <v>0</v>
      </c>
      <c r="F9" s="8">
        <f t="shared" si="1"/>
        <v>0</v>
      </c>
      <c r="G9" s="8">
        <f t="shared" si="1"/>
        <v>0</v>
      </c>
      <c r="H9" s="8">
        <f t="shared" si="1"/>
        <v>0</v>
      </c>
      <c r="I9" s="8">
        <f t="shared" si="1"/>
        <v>0</v>
      </c>
      <c r="J9" s="8">
        <f t="shared" si="1"/>
        <v>0</v>
      </c>
    </row>
    <row r="11">
      <c r="A11" s="3" t="s">
        <v>7</v>
      </c>
      <c r="B11" s="4"/>
      <c r="C11" s="4">
        <v>-30000.0</v>
      </c>
      <c r="D11" s="4">
        <v>-40000.0</v>
      </c>
      <c r="E11" s="4"/>
      <c r="F11" s="4"/>
      <c r="G11" s="4"/>
      <c r="H11" s="4"/>
      <c r="I11" s="4"/>
      <c r="J11" s="4"/>
    </row>
    <row r="12">
      <c r="B12" s="4"/>
      <c r="C12" s="4"/>
      <c r="D12" s="4"/>
      <c r="E12" s="4"/>
      <c r="F12" s="4"/>
      <c r="G12" s="4"/>
      <c r="H12" s="4"/>
      <c r="I12" s="4"/>
      <c r="J12" s="4"/>
    </row>
    <row r="13">
      <c r="A13" s="3" t="s">
        <v>8</v>
      </c>
      <c r="B13" s="4"/>
      <c r="C13" s="4"/>
      <c r="D13" s="4"/>
      <c r="E13" s="4"/>
      <c r="F13" s="4"/>
      <c r="G13" s="4"/>
      <c r="H13" s="4"/>
      <c r="I13" s="4"/>
      <c r="J13" s="4"/>
    </row>
    <row r="14">
      <c r="A14" s="1" t="s">
        <v>9</v>
      </c>
      <c r="B14" s="4"/>
      <c r="C14" s="4">
        <v>50000.0</v>
      </c>
      <c r="D14" s="4">
        <v>80000.0</v>
      </c>
      <c r="E14" s="4">
        <v>100000.0</v>
      </c>
      <c r="F14" s="4">
        <v>150000.0</v>
      </c>
      <c r="G14" s="9">
        <f t="shared" ref="G14:J14" si="2">F14*(1+$B$1)</f>
        <v>165831.1468</v>
      </c>
      <c r="H14" s="9">
        <f t="shared" si="2"/>
        <v>183333.1283</v>
      </c>
      <c r="I14" s="9">
        <f t="shared" si="2"/>
        <v>202682.2861</v>
      </c>
      <c r="J14" s="9">
        <f t="shared" si="2"/>
        <v>224073.573</v>
      </c>
    </row>
    <row r="15">
      <c r="A15" s="1" t="s">
        <v>10</v>
      </c>
      <c r="B15" s="4"/>
      <c r="C15" s="4">
        <v>20000.0</v>
      </c>
      <c r="D15" s="4">
        <v>40000.0</v>
      </c>
      <c r="E15" s="4">
        <v>60000.0</v>
      </c>
      <c r="F15" s="4">
        <v>60000.0</v>
      </c>
      <c r="G15" s="4">
        <v>70000.0</v>
      </c>
      <c r="H15" s="4">
        <v>100000.0</v>
      </c>
      <c r="I15" s="4">
        <v>100000.0</v>
      </c>
      <c r="J15" s="4">
        <f t="shared" ref="J15:J16" si="3">I15</f>
        <v>100000</v>
      </c>
    </row>
    <row r="16">
      <c r="A16" s="1" t="s">
        <v>11</v>
      </c>
      <c r="B16" s="6"/>
      <c r="C16" s="6">
        <v>40000.0</v>
      </c>
      <c r="D16" s="6">
        <v>60000.0</v>
      </c>
      <c r="E16" s="6">
        <v>70000.0</v>
      </c>
      <c r="F16" s="6">
        <v>70000.0</v>
      </c>
      <c r="G16" s="6">
        <v>90000.0</v>
      </c>
      <c r="H16" s="6">
        <v>100000.0</v>
      </c>
      <c r="I16" s="6">
        <v>100000.0</v>
      </c>
      <c r="J16" s="6">
        <f t="shared" si="3"/>
        <v>100000</v>
      </c>
    </row>
    <row r="17">
      <c r="A17" s="1" t="s">
        <v>12</v>
      </c>
      <c r="B17" s="4"/>
      <c r="C17" s="9">
        <f t="shared" ref="C17:J17" si="4">SUM(C14:C16)</f>
        <v>110000</v>
      </c>
      <c r="D17" s="9">
        <f t="shared" si="4"/>
        <v>180000</v>
      </c>
      <c r="E17" s="9">
        <f t="shared" si="4"/>
        <v>230000</v>
      </c>
      <c r="F17" s="9">
        <f t="shared" si="4"/>
        <v>280000</v>
      </c>
      <c r="G17" s="9">
        <f t="shared" si="4"/>
        <v>325831.1468</v>
      </c>
      <c r="H17" s="9">
        <f t="shared" si="4"/>
        <v>383333.1283</v>
      </c>
      <c r="I17" s="9">
        <f t="shared" si="4"/>
        <v>402682.2861</v>
      </c>
      <c r="J17" s="9">
        <f t="shared" si="4"/>
        <v>424073.573</v>
      </c>
    </row>
    <row r="18">
      <c r="B18" s="4"/>
      <c r="C18" s="4"/>
      <c r="D18" s="4"/>
      <c r="E18" s="4"/>
      <c r="F18" s="4"/>
      <c r="G18" s="4"/>
      <c r="H18" s="4"/>
      <c r="I18" s="4"/>
      <c r="J18" s="4"/>
    </row>
    <row r="19">
      <c r="A19" s="3" t="s">
        <v>13</v>
      </c>
      <c r="B19" s="4"/>
      <c r="C19" s="4"/>
      <c r="D19" s="4"/>
      <c r="E19" s="4"/>
      <c r="F19" s="4"/>
      <c r="G19" s="4"/>
      <c r="H19" s="4"/>
      <c r="I19" s="4"/>
      <c r="J19" s="4"/>
    </row>
    <row r="20">
      <c r="A20" s="1" t="s">
        <v>14</v>
      </c>
      <c r="B20" s="4"/>
      <c r="C20" s="9">
        <f t="shared" ref="C20:J20" si="5">C14*-0.6</f>
        <v>-30000</v>
      </c>
      <c r="D20" s="9">
        <f t="shared" si="5"/>
        <v>-48000</v>
      </c>
      <c r="E20" s="9">
        <f t="shared" si="5"/>
        <v>-60000</v>
      </c>
      <c r="F20" s="9">
        <f t="shared" si="5"/>
        <v>-90000</v>
      </c>
      <c r="G20" s="9">
        <f t="shared" si="5"/>
        <v>-99498.68808</v>
      </c>
      <c r="H20" s="9">
        <f t="shared" si="5"/>
        <v>-109999.877</v>
      </c>
      <c r="I20" s="9">
        <f t="shared" si="5"/>
        <v>-121609.3717</v>
      </c>
      <c r="J20" s="9">
        <f t="shared" si="5"/>
        <v>-134444.1438</v>
      </c>
    </row>
    <row r="21">
      <c r="A21" s="1" t="s">
        <v>15</v>
      </c>
      <c r="B21" s="4"/>
      <c r="C21" s="4">
        <v>-80000.0</v>
      </c>
      <c r="D21" s="4"/>
      <c r="E21" s="4"/>
      <c r="F21" s="4"/>
      <c r="G21" s="4"/>
      <c r="H21" s="4"/>
      <c r="I21" s="4"/>
      <c r="J21" s="4"/>
    </row>
    <row r="22">
      <c r="A22" s="1" t="s">
        <v>16</v>
      </c>
      <c r="B22" s="6">
        <v>-200000.0</v>
      </c>
      <c r="C22" s="6">
        <v>-50000.0</v>
      </c>
      <c r="D22" s="6"/>
      <c r="E22" s="6"/>
      <c r="F22" s="6"/>
      <c r="G22" s="6"/>
      <c r="H22" s="6"/>
      <c r="I22" s="6"/>
      <c r="J22" s="6"/>
    </row>
    <row r="23">
      <c r="A23" s="1" t="s">
        <v>17</v>
      </c>
      <c r="B23" s="8">
        <f t="shared" ref="B23:J23" si="6">SUM(B20:B22)</f>
        <v>-200000</v>
      </c>
      <c r="C23" s="8">
        <f t="shared" si="6"/>
        <v>-160000</v>
      </c>
      <c r="D23" s="8">
        <f t="shared" si="6"/>
        <v>-48000</v>
      </c>
      <c r="E23" s="8">
        <f t="shared" si="6"/>
        <v>-60000</v>
      </c>
      <c r="F23" s="8">
        <f t="shared" si="6"/>
        <v>-90000</v>
      </c>
      <c r="G23" s="8">
        <f t="shared" si="6"/>
        <v>-99498.68808</v>
      </c>
      <c r="H23" s="8">
        <f t="shared" si="6"/>
        <v>-109999.877</v>
      </c>
      <c r="I23" s="8">
        <f t="shared" si="6"/>
        <v>-121609.3717</v>
      </c>
      <c r="J23" s="8">
        <f t="shared" si="6"/>
        <v>-134444.1438</v>
      </c>
    </row>
    <row r="25">
      <c r="A25" s="3" t="s">
        <v>18</v>
      </c>
      <c r="B25" s="10">
        <f t="shared" ref="B25:J25" si="7">B17+B23</f>
        <v>-200000</v>
      </c>
      <c r="C25" s="10">
        <f t="shared" si="7"/>
        <v>-50000</v>
      </c>
      <c r="D25" s="10">
        <f t="shared" si="7"/>
        <v>132000</v>
      </c>
      <c r="E25" s="10">
        <f t="shared" si="7"/>
        <v>170000</v>
      </c>
      <c r="F25" s="10">
        <f t="shared" si="7"/>
        <v>190000</v>
      </c>
      <c r="G25" s="10">
        <f t="shared" si="7"/>
        <v>226332.4587</v>
      </c>
      <c r="H25" s="10">
        <f t="shared" si="7"/>
        <v>273333.2513</v>
      </c>
      <c r="I25" s="10">
        <f t="shared" si="7"/>
        <v>281072.9145</v>
      </c>
      <c r="J25" s="10">
        <f t="shared" si="7"/>
        <v>289629.4292</v>
      </c>
    </row>
    <row r="27">
      <c r="A27" s="1" t="s">
        <v>19</v>
      </c>
      <c r="B27" s="9">
        <f t="shared" ref="B27:J27" si="8">B25*-0.25</f>
        <v>50000</v>
      </c>
      <c r="C27" s="9">
        <f t="shared" si="8"/>
        <v>12500</v>
      </c>
      <c r="D27" s="9">
        <f t="shared" si="8"/>
        <v>-33000</v>
      </c>
      <c r="E27" s="9">
        <f t="shared" si="8"/>
        <v>-42500</v>
      </c>
      <c r="F27" s="9">
        <f t="shared" si="8"/>
        <v>-47500</v>
      </c>
      <c r="G27" s="9">
        <f t="shared" si="8"/>
        <v>-56583.11468</v>
      </c>
      <c r="H27" s="9">
        <f t="shared" si="8"/>
        <v>-68333.31283</v>
      </c>
      <c r="I27" s="9">
        <f t="shared" si="8"/>
        <v>-70268.22861</v>
      </c>
      <c r="J27" s="9">
        <f t="shared" si="8"/>
        <v>-72407.3573</v>
      </c>
    </row>
    <row r="28">
      <c r="B28" s="4"/>
      <c r="C28" s="4"/>
      <c r="D28" s="4"/>
      <c r="E28" s="4"/>
      <c r="F28" s="4"/>
      <c r="G28" s="4"/>
      <c r="H28" s="4"/>
      <c r="I28" s="4"/>
      <c r="J28" s="4"/>
    </row>
    <row r="29">
      <c r="A29" s="1" t="s">
        <v>20</v>
      </c>
      <c r="B29" s="9">
        <f t="shared" ref="B29:J29" si="9">B25+B27</f>
        <v>-150000</v>
      </c>
      <c r="C29" s="9">
        <f t="shared" si="9"/>
        <v>-37500</v>
      </c>
      <c r="D29" s="9">
        <f t="shared" si="9"/>
        <v>99000</v>
      </c>
      <c r="E29" s="9">
        <f t="shared" si="9"/>
        <v>127500</v>
      </c>
      <c r="F29" s="9">
        <f t="shared" si="9"/>
        <v>142500</v>
      </c>
      <c r="G29" s="9">
        <f t="shared" si="9"/>
        <v>169749.344</v>
      </c>
      <c r="H29" s="9">
        <f t="shared" si="9"/>
        <v>204999.9385</v>
      </c>
      <c r="I29" s="9">
        <f t="shared" si="9"/>
        <v>210804.6858</v>
      </c>
      <c r="J29" s="9">
        <f t="shared" si="9"/>
        <v>217222.0719</v>
      </c>
    </row>
    <row r="30">
      <c r="B30" s="4"/>
      <c r="C30" s="4"/>
      <c r="D30" s="4"/>
      <c r="E30" s="4"/>
      <c r="F30" s="4"/>
      <c r="G30" s="4"/>
      <c r="H30" s="4"/>
      <c r="I30" s="4"/>
      <c r="J30" s="4"/>
    </row>
    <row r="31">
      <c r="A31" s="3" t="s">
        <v>21</v>
      </c>
      <c r="B31" s="11">
        <f t="shared" ref="B31:J31" si="10">B29+B11+B9</f>
        <v>-600000</v>
      </c>
      <c r="C31" s="11">
        <f t="shared" si="10"/>
        <v>-127500</v>
      </c>
      <c r="D31" s="11">
        <f t="shared" si="10"/>
        <v>59000</v>
      </c>
      <c r="E31" s="11">
        <f t="shared" si="10"/>
        <v>127500</v>
      </c>
      <c r="F31" s="11">
        <f t="shared" si="10"/>
        <v>142500</v>
      </c>
      <c r="G31" s="11">
        <f t="shared" si="10"/>
        <v>169749.344</v>
      </c>
      <c r="H31" s="11">
        <f t="shared" si="10"/>
        <v>204999.9385</v>
      </c>
      <c r="I31" s="11">
        <f t="shared" si="10"/>
        <v>210804.6858</v>
      </c>
      <c r="J31" s="11">
        <f t="shared" si="10"/>
        <v>217222.0719</v>
      </c>
    </row>
    <row r="32">
      <c r="B32" s="4"/>
      <c r="C32" s="4"/>
      <c r="D32" s="4"/>
      <c r="E32" s="4"/>
      <c r="F32" s="4"/>
      <c r="G32" s="4"/>
      <c r="H32" s="4"/>
      <c r="I32" s="4"/>
      <c r="J32" s="4"/>
    </row>
    <row r="33">
      <c r="A33" s="1" t="s">
        <v>22</v>
      </c>
      <c r="B33" s="12">
        <v>0.06</v>
      </c>
    </row>
    <row r="35">
      <c r="A35" s="3" t="s">
        <v>23</v>
      </c>
      <c r="B35" s="13">
        <f t="array" ref="B35">NPV(B33,C31:J31)+B31</f>
        <v>99999.99993</v>
      </c>
    </row>
  </sheetData>
  <drawing r:id="rId1"/>
</worksheet>
</file>