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Data" sheetId="2" r:id="rId6"/>
    <sheet state="visible" name="Pivot Basics" sheetId="3" r:id="rId7"/>
    <sheet state="visible" name="Filter Slicer" sheetId="4" r:id="rId8"/>
    <sheet state="visible" name="Grouping" sheetId="5" r:id="rId9"/>
    <sheet state="visible" name="Custom Formulas" sheetId="6" r:id="rId10"/>
    <sheet state="visible" name="Challenge" sheetId="7" r:id="rId11"/>
    <sheet state="hidden" name="Formula Sheet 1" sheetId="8" r:id="rId12"/>
  </sheets>
  <definedNames>
    <definedName hidden="1" localSheetId="1" name="Z_195516AF_4660_44C2_97CA_E6B6ED50AA1D_.wvu.FilterData">Data!$A$3:$J$200</definedName>
    <definedName name="SlicerCache_Table_1_Col_2">#N/A</definedName>
    <definedName name="SlicerCache_Table_1_Col_4">#N/A</definedName>
  </definedNames>
  <calcPr/>
  <customWorkbookViews>
    <customWorkbookView activeSheetId="0" maximized="1" windowHeight="0" windowWidth="0" guid="{195516AF-4660-44C2-97CA-E6B6ED50AA1D}" name="Filter 1"/>
  </customWorkbookViews>
  <pivotCaches>
    <pivotCache cacheId="0" r:id="rId13"/>
    <pivotCache cacheId="1" r:id="rId14"/>
    <pivotCache cacheId="2" r:id="rId15"/>
    <pivotCache cacheId="3" r:id="rId16"/>
    <pivotCache cacheId="4" r:id="rId17"/>
  </pivotCaches>
  <extLst>
    <ext uri="{46BE6895-7355-4a93-B00E-2C351335B9C9}">
      <x15:slicerCaches>
        <x14:slicerCache r:id="rId18"/>
        <x14:slicerCache r:id="rId19"/>
      </x15:slicerCaches>
    </ext>
  </extLst>
</workbook>
</file>

<file path=xl/sharedStrings.xml><?xml version="1.0" encoding="utf-8"?>
<sst xmlns="http://schemas.openxmlformats.org/spreadsheetml/2006/main" count="874" uniqueCount="111">
  <si>
    <t>Google Sheets Essentials</t>
  </si>
  <si>
    <t>Explore your Data with Pivot Tables</t>
  </si>
  <si>
    <t>LINK</t>
  </si>
  <si>
    <t>TOPIC</t>
  </si>
  <si>
    <t>COMPREHENSION</t>
  </si>
  <si>
    <t>YOUR NOTES</t>
  </si>
  <si>
    <t>Explore Feature in Google Sheets</t>
  </si>
  <si>
    <t>Select One…</t>
  </si>
  <si>
    <t>Pivot Table Basics in Google Sheets</t>
  </si>
  <si>
    <t>Filters &amp; Slicers for Dynamic Pivot Tables</t>
  </si>
  <si>
    <t>Pro Tip: Grouping Items &amp; Dates (by month, year)</t>
  </si>
  <si>
    <t>Custom Formulas in Pivot Tables</t>
  </si>
  <si>
    <t>Challenge: Master Pivot Tables in Google Sheets</t>
  </si>
  <si>
    <t>Explore Your Data</t>
  </si>
  <si>
    <t>Which product is high in demand? (most quantity sold)</t>
  </si>
  <si>
    <t>Which product has the highest total sales?</t>
  </si>
  <si>
    <t>Company</t>
  </si>
  <si>
    <t>Region</t>
  </si>
  <si>
    <t>Document No</t>
  </si>
  <si>
    <t>Document Date</t>
  </si>
  <si>
    <t>Customer Code</t>
  </si>
  <si>
    <t>Customer Name</t>
  </si>
  <si>
    <t>Product Code</t>
  </si>
  <si>
    <t>Product Description</t>
  </si>
  <si>
    <t>Quantity</t>
  </si>
  <si>
    <t>Sales USD</t>
  </si>
  <si>
    <t>Meta Creations</t>
  </si>
  <si>
    <t>America</t>
  </si>
  <si>
    <t>Erma</t>
  </si>
  <si>
    <t>Laptop bag black</t>
  </si>
  <si>
    <t>SUM of Quantity</t>
  </si>
  <si>
    <t>Lucas Basics</t>
  </si>
  <si>
    <t>Europe</t>
  </si>
  <si>
    <t>Liebher</t>
  </si>
  <si>
    <t>Women type T simple black</t>
  </si>
  <si>
    <t>Urban Right</t>
  </si>
  <si>
    <t>Dellicia</t>
  </si>
  <si>
    <t>Women type T simple white</t>
  </si>
  <si>
    <t>Smartphone case diamond</t>
  </si>
  <si>
    <t>Women crop top black</t>
  </si>
  <si>
    <t>Laptop bag red</t>
  </si>
  <si>
    <t>Women basics</t>
  </si>
  <si>
    <t>Aida GmbH</t>
  </si>
  <si>
    <t>Men type T simple white</t>
  </si>
  <si>
    <t>Smartphone case simple</t>
  </si>
  <si>
    <t>Men shorts black</t>
  </si>
  <si>
    <t>Men shorts grey</t>
  </si>
  <si>
    <t>Unisex tank top white</t>
  </si>
  <si>
    <t>Men type T simple black</t>
  </si>
  <si>
    <t>Men dress shirt black</t>
  </si>
  <si>
    <t>Men basics</t>
  </si>
  <si>
    <t>Men dress shirt grey</t>
  </si>
  <si>
    <t>Grand Total</t>
  </si>
  <si>
    <t>Pivot Table Basics</t>
  </si>
  <si>
    <t>Values</t>
  </si>
  <si>
    <t>Product</t>
  </si>
  <si>
    <t>Sales</t>
  </si>
  <si>
    <t>Sales %</t>
  </si>
  <si>
    <t>Unique Customer Count</t>
  </si>
  <si>
    <t>Filters &amp; Slicers in Pivot Tables</t>
  </si>
  <si>
    <t>Grouping Items &amp; Dates (by month, year)</t>
  </si>
  <si>
    <t>Women Total</t>
  </si>
  <si>
    <t>Document Date - Year-Month</t>
  </si>
  <si>
    <t>Laptop Total</t>
  </si>
  <si>
    <t>2020-May</t>
  </si>
  <si>
    <t>Phone case Total</t>
  </si>
  <si>
    <t>2020-Jun</t>
  </si>
  <si>
    <t>Men Total</t>
  </si>
  <si>
    <t>2020-Jul</t>
  </si>
  <si>
    <t>Unisex Total</t>
  </si>
  <si>
    <t>2020-Aug</t>
  </si>
  <si>
    <t>2020-Sep</t>
  </si>
  <si>
    <t>2020-Oct</t>
  </si>
  <si>
    <t>Average Price</t>
  </si>
  <si>
    <t>Sales per unique product</t>
  </si>
  <si>
    <t>Challenge: Master Pivot Tables</t>
  </si>
  <si>
    <t>Create a Pivot Table with Division in the Rows and unique count of apps as values (insert in H7)</t>
  </si>
  <si>
    <t>Add a calculated field for profit to sales ratio (sort divisions based on this with highest first)</t>
  </si>
  <si>
    <t>Expand the Pivot Table range until row 200 - make sure empty rows are hidden in the Pivot Table</t>
  </si>
  <si>
    <t>Test it by adding a new Health Division on the bottom with data of your choice</t>
  </si>
  <si>
    <t>Division</t>
  </si>
  <si>
    <t>App</t>
  </si>
  <si>
    <t>Profit</t>
  </si>
  <si>
    <t>Unique count of app</t>
  </si>
  <si>
    <t>Profit to Sales ratio</t>
  </si>
  <si>
    <t>Productivity</t>
  </si>
  <si>
    <t>North America</t>
  </si>
  <si>
    <t>Voltage</t>
  </si>
  <si>
    <t>Game</t>
  </si>
  <si>
    <t>Utility</t>
  </si>
  <si>
    <t>Australia</t>
  </si>
  <si>
    <t>Atmos</t>
  </si>
  <si>
    <t>South America</t>
  </si>
  <si>
    <t>Aviatrr</t>
  </si>
  <si>
    <t>Right App</t>
  </si>
  <si>
    <t>deRamblr</t>
  </si>
  <si>
    <t>Kryptis</t>
  </si>
  <si>
    <t>Perino</t>
  </si>
  <si>
    <t>Five Labs</t>
  </si>
  <si>
    <t>Pet Feed</t>
  </si>
  <si>
    <t>Asia</t>
  </si>
  <si>
    <t>Baden</t>
  </si>
  <si>
    <t>Blend</t>
  </si>
  <si>
    <t>Hackrr</t>
  </si>
  <si>
    <t>Twistrr</t>
  </si>
  <si>
    <t>Arcade</t>
  </si>
  <si>
    <t>Accord</t>
  </si>
  <si>
    <t>Misty Wash</t>
  </si>
  <si>
    <t>Pes</t>
  </si>
  <si>
    <t>Jellyfish</t>
  </si>
  <si>
    <t>Fightrr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</si>
</sst>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quot;$&quot;#,##0"/>
    <numFmt numFmtId="166" formatCode="m/d/yyyy h:mm:ss"/>
    <numFmt numFmtId="167" formatCode="&quot;$&quot;#,##0.00"/>
  </numFmts>
  <fonts count="15">
    <font>
      <sz val="10.0"/>
      <color rgb="FF000000"/>
      <name val="Roboto"/>
      <scheme val="minor"/>
    </font>
    <font>
      <color theme="1"/>
      <name val="Roboto"/>
      <scheme val="minor"/>
    </font>
    <font>
      <b/>
      <color rgb="FFFFF2CC"/>
      <name val="Roboto"/>
      <scheme val="minor"/>
    </font>
    <font>
      <b/>
      <sz val="14.0"/>
      <color rgb="FFFFFFFF"/>
      <name val="Roboto"/>
      <scheme val="minor"/>
    </font>
    <font>
      <b/>
      <color rgb="FFFFFFFF"/>
      <name val="Roboto"/>
      <scheme val="minor"/>
    </font>
    <font>
      <u/>
      <color rgb="FF1155CC"/>
      <name val="Roboto"/>
      <scheme val="minor"/>
    </font>
    <font>
      <b/>
      <color theme="1"/>
      <name val="Roboto"/>
      <scheme val="minor"/>
    </font>
    <font>
      <u/>
      <color rgb="FF1155CC"/>
    </font>
    <font>
      <u/>
      <color rgb="FF1155CC"/>
    </font>
    <font>
      <b/>
      <sz val="11.0"/>
      <color theme="1"/>
      <name val="Roboto"/>
      <scheme val="minor"/>
    </font>
    <font>
      <b/>
      <color theme="1"/>
      <name val="Roboto"/>
    </font>
    <font>
      <b/>
      <color rgb="FF02A846"/>
      <name val="Roboto"/>
      <scheme val="minor"/>
    </font>
    <font>
      <sz val="10.0"/>
      <color theme="1"/>
      <name val="Roboto"/>
      <scheme val="minor"/>
    </font>
    <font>
      <b/>
      <color rgb="FFFFFFFF"/>
      <name val="Roboto"/>
    </font>
    <font>
      <b/>
      <sz val="10.0"/>
      <color theme="1"/>
      <name val="Roboto"/>
    </font>
  </fonts>
  <fills count="5">
    <fill>
      <patternFill patternType="none"/>
    </fill>
    <fill>
      <patternFill patternType="lightGray"/>
    </fill>
    <fill>
      <patternFill patternType="solid">
        <fgColor theme="4"/>
        <bgColor theme="4"/>
      </patternFill>
    </fill>
    <fill>
      <patternFill patternType="solid">
        <fgColor rgb="FF9FC5E8"/>
        <bgColor rgb="FF9FC5E8"/>
      </patternFill>
    </fill>
    <fill>
      <patternFill patternType="solid">
        <fgColor rgb="FFD9EAD3"/>
        <bgColor rgb="FFD9EAD3"/>
      </patternFill>
    </fill>
  </fills>
  <borders count="5">
    <border/>
    <border>
      <bottom style="thin">
        <color rgb="FFEFEFEF"/>
      </bottom>
    </border>
    <border>
      <top style="thin">
        <color rgb="FFEFEFEF"/>
      </top>
      <bottom style="thin">
        <color rgb="FFEFEFEF"/>
      </bottom>
    </border>
    <border>
      <bottom style="thin">
        <color rgb="FF434343"/>
      </bottom>
    </border>
    <border>
      <bottom style="thick">
        <color rgb="FF3E50B3"/>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2" fontId="3" numFmtId="0" xfId="0" applyAlignment="1" applyFont="1">
      <alignment horizontal="center" readingOrder="0"/>
    </xf>
    <xf borderId="0" fillId="3" fontId="1" numFmtId="0" xfId="0" applyFill="1" applyFont="1"/>
    <xf borderId="0" fillId="3" fontId="4" numFmtId="0" xfId="0" applyAlignment="1" applyFont="1">
      <alignment readingOrder="0"/>
    </xf>
    <xf borderId="0" fillId="3" fontId="5" numFmtId="0" xfId="0" applyAlignment="1" applyFont="1">
      <alignment readingOrder="0"/>
    </xf>
    <xf borderId="0" fillId="0" fontId="6" numFmtId="0" xfId="0" applyAlignment="1" applyFont="1">
      <alignment readingOrder="0"/>
    </xf>
    <xf borderId="0" fillId="0" fontId="6" numFmtId="0" xfId="0" applyFont="1"/>
    <xf borderId="1" fillId="0" fontId="1" numFmtId="0" xfId="0" applyBorder="1" applyFont="1"/>
    <xf borderId="1" fillId="0" fontId="7"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readingOrder="0"/>
    </xf>
    <xf borderId="2" fillId="0" fontId="1" numFmtId="0" xfId="0" applyBorder="1" applyFont="1"/>
    <xf borderId="2" fillId="0" fontId="8" numFmtId="0" xfId="0" applyAlignment="1" applyBorder="1" applyFont="1">
      <alignment readingOrder="0"/>
    </xf>
    <xf borderId="2" fillId="0" fontId="1" numFmtId="0" xfId="0" applyAlignment="1" applyBorder="1" applyFont="1">
      <alignment readingOrder="0" shrinkToFit="0" wrapText="1"/>
    </xf>
    <xf borderId="2" fillId="0" fontId="1" numFmtId="0" xfId="0" applyAlignment="1" applyBorder="1" applyFont="1">
      <alignment readingOrder="0"/>
    </xf>
    <xf borderId="0" fillId="3" fontId="1" numFmtId="0" xfId="0" applyAlignment="1" applyFont="1">
      <alignment shrinkToFit="0" wrapText="1"/>
    </xf>
    <xf borderId="3" fillId="0" fontId="9" numFmtId="0" xfId="0" applyAlignment="1" applyBorder="1" applyFont="1">
      <alignment readingOrder="0"/>
    </xf>
    <xf borderId="3" fillId="0" fontId="1" numFmtId="0" xfId="0" applyBorder="1" applyFont="1"/>
    <xf borderId="0" fillId="0" fontId="1" numFmtId="0" xfId="0" applyAlignment="1" applyFont="1">
      <alignment readingOrder="0"/>
    </xf>
    <xf borderId="4" fillId="0" fontId="10" numFmtId="0" xfId="0" applyAlignment="1" applyBorder="1" applyFont="1">
      <alignment horizontal="left" readingOrder="0" vertical="bottom"/>
    </xf>
    <xf borderId="4" fillId="0" fontId="10" numFmtId="0" xfId="0" applyAlignment="1" applyBorder="1" applyFont="1">
      <alignment horizontal="left" readingOrder="0" shrinkToFit="0" vertical="bottom" wrapText="1"/>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4" fontId="1" numFmtId="0" xfId="0" applyFill="1" applyFont="1"/>
    <xf borderId="0" fillId="0" fontId="1" numFmtId="0" xfId="0" applyFont="1"/>
    <xf borderId="0" fillId="0" fontId="1" numFmtId="3" xfId="0" applyFont="1" applyNumberFormat="1"/>
    <xf borderId="0" fillId="0" fontId="1" numFmtId="165" xfId="0" applyFont="1" applyNumberFormat="1"/>
    <xf borderId="0" fillId="0" fontId="1" numFmtId="10" xfId="0" applyFont="1" applyNumberFormat="1"/>
    <xf borderId="0" fillId="0" fontId="1" numFmtId="166" xfId="0" applyFont="1" applyNumberFormat="1"/>
    <xf borderId="0" fillId="0" fontId="1" numFmtId="0" xfId="0" applyAlignment="1" applyFont="1">
      <alignment shrinkToFit="0" wrapText="1"/>
    </xf>
    <xf borderId="0" fillId="0" fontId="1" numFmtId="167" xfId="0" applyFont="1" applyNumberFormat="1"/>
    <xf borderId="0" fillId="0" fontId="11" numFmtId="0" xfId="0" applyAlignment="1" applyFont="1">
      <alignment horizontal="right" readingOrder="0"/>
    </xf>
    <xf borderId="0" fillId="0" fontId="12" numFmtId="0" xfId="0" applyAlignment="1" applyFont="1">
      <alignment readingOrder="0"/>
    </xf>
    <xf borderId="0" fillId="0" fontId="12" numFmtId="0" xfId="0" applyFont="1"/>
    <xf borderId="0" fillId="0" fontId="13" numFmtId="0" xfId="0" applyAlignment="1" applyFont="1">
      <alignment readingOrder="0"/>
    </xf>
    <xf borderId="0" fillId="0" fontId="14" numFmtId="0" xfId="0" applyAlignment="1" applyFont="1">
      <alignment horizontal="left" readingOrder="0" vertical="bottom"/>
    </xf>
    <xf borderId="0" fillId="0" fontId="10" numFmtId="0" xfId="0" applyAlignment="1" applyFont="1">
      <alignment horizontal="left" readingOrder="0" vertical="bottom"/>
    </xf>
  </cellXfs>
  <cellStyles count="1">
    <cellStyle xfId="0" name="Normal" builtinId="0"/>
  </cellStyles>
  <dxfs count="11">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AE5E5"/>
          <bgColor rgb="FFFAE5E5"/>
        </patternFill>
      </fill>
      <border/>
    </dxf>
    <dxf>
      <font/>
      <fill>
        <patternFill patternType="none"/>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02A846"/>
      </font>
      <fill>
        <patternFill patternType="none"/>
      </fill>
      <border/>
    </dxf>
  </dxfs>
  <tableStyles count="1">
    <tableStyle count="12" table="0" name="Google Sheets Pivot Table Style">
      <tableStyleElement dxfId="5" type="wholeTable"/>
      <tableStyleElement dxfId="6" type="firstRowSubheading"/>
      <tableStyleElement dxfId="6" type="secondRowSubheading"/>
      <tableStyleElement dxfId="6" type="thirdRowSubheading"/>
      <tableStyleElement dxfId="7" type="firstColumnSubheading"/>
      <tableStyleElement dxfId="7" type="secondColumnSubheading"/>
      <tableStyleElement dxfId="7" type="thirdColumnSubheading"/>
      <tableStyleElement dxfId="7" type="headerRow"/>
      <tableStyleElement dxfId="8" type="firstSubtotalRow"/>
      <tableStyleElement dxfId="8" type="secondSubtotalRow"/>
      <tableStyleElement dxfId="8" type="thirdSubtotalRow"/>
      <tableStyleElement dxfId="9"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7" Type="http://schemas.openxmlformats.org/officeDocument/2006/relationships/pivotCacheDefinition" Target="pivotCache/pivotCacheDefinition5.xml"/><Relationship Id="rId16" Type="http://schemas.openxmlformats.org/officeDocument/2006/relationships/pivotCacheDefinition" Target="pivotCache/pivotCacheDefinition4.xml"/><Relationship Id="rId5" Type="http://schemas.openxmlformats.org/officeDocument/2006/relationships/worksheet" Target="worksheets/sheet1.xml"/><Relationship Id="rId19" Type="http://schemas.microsoft.com/office/2007/relationships/slicerCache" Target="slicerCaches/slicerCache2.xml"/><Relationship Id="rId6" Type="http://schemas.openxmlformats.org/officeDocument/2006/relationships/worksheet" Target="worksheets/sheet2.xml"/><Relationship Id="rId18" Type="http://schemas.microsoft.com/office/2007/relationships/slicerCache" Target="slicerCaches/slicerCache1.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904875</xdr:colOff>
      <xdr:row>7</xdr:row>
      <xdr:rowOff>152400</xdr:rowOff>
    </xdr:from>
    <xdr:ext cx="2705100" cy="1666875"/>
    <xdr:pic>
      <xdr:nvPicPr>
        <xdr:cNvPr id="149311047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400050</xdr:colOff>
      <xdr:row>1</xdr:row>
      <xdr:rowOff>190500</xdr:rowOff>
    </xdr:from>
    <xdr:ext cx="2028825"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657225</xdr:colOff>
      <xdr:row>1</xdr:row>
      <xdr:rowOff>190500</xdr:rowOff>
    </xdr:from>
    <xdr:ext cx="2181225" cy="2857500"/>
    <mc:AlternateContent>
      <mc:Choice Requires="sle15">
        <xdr:graphicFrame>
          <xdr:nvGraphicFramePr>
            <xdr:cNvPr id="2" name="Document Date_2"/>
            <xdr:cNvGraphicFramePr/>
          </xdr:nvGraphicFramePr>
          <xdr:xfrm>
            <a:off x="0" y="0"/>
            <a:ext cx="0" cy="0"/>
          </xdr:xfrm>
          <a:graphic>
            <a:graphicData uri="http://schemas.microsoft.com/office/drawing/2010/slicer">
              <x3Unk:slicer name="Document Da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109" sheet="Data"/>
  </cacheSource>
  <cacheFields>
    <cacheField name="Company" numFmtId="0">
      <sharedItems>
        <s v="Meta Creations"/>
        <s v="Lucas Basics"/>
        <s v="Urban Right"/>
      </sharedItems>
    </cacheField>
    <cacheField name="Region" numFmtId="0">
      <sharedItems>
        <s v="America"/>
        <s v="Europe"/>
      </sharedItems>
    </cacheField>
    <cacheField name="Document No" numFmtId="0">
      <sharedItems containsSemiMixedTypes="0" containsString="0" containsNumber="1" containsInteger="1">
        <n v="28112.0"/>
        <n v="45444.0"/>
        <n v="66017.0"/>
        <n v="48112.0"/>
        <n v="66031.0"/>
        <n v="66016.0"/>
        <n v="44031.0"/>
        <n v="68116.0"/>
        <n v="65629.0"/>
        <n v="66015.0"/>
        <n v="68097.0"/>
        <n v="24030.0"/>
        <n v="66030.0"/>
        <n v="45442.0"/>
        <n v="65666.0"/>
        <n v="44016.0"/>
        <n v="65631.0"/>
        <n v="24031.0"/>
        <n v="44017.0"/>
        <n v="45427.0"/>
        <n v="48116.0"/>
        <n v="66032.0"/>
        <n v="25442.0"/>
        <n v="44015.0"/>
        <n v="45446.0"/>
        <n v="48101.0"/>
        <n v="45429.0"/>
        <n v="48097.0"/>
        <n v="48099.0"/>
        <n v="45431.0"/>
        <n v="44032.0"/>
        <n v="68099.0"/>
        <n v="68101.0"/>
        <n v="68112.0"/>
        <n v="65662.0"/>
        <n v="65627.0"/>
        <n v="48114.0"/>
        <n v="44030.0"/>
      </sharedItems>
    </cacheField>
    <cacheField name="Document Date" numFmtId="164">
      <sharedItems containsSemiMixedTypes="0" containsDate="1" containsString="0">
        <d v="2020-05-27T00:00:00Z"/>
        <d v="2020-05-28T00:00:00Z"/>
        <d v="2020-05-29T00:00:00Z"/>
        <d v="2020-05-30T00:00:00Z"/>
        <d v="2020-05-31T00:00:00Z"/>
        <d v="2020-06-01T00:00:00Z"/>
        <d v="2020-06-02T00:00:00Z"/>
        <d v="2020-06-04T00:00:00Z"/>
        <d v="2020-06-07T00:00:00Z"/>
        <d v="2020-06-10T00:00:00Z"/>
        <d v="2020-06-11T00:00:00Z"/>
        <d v="2020-06-13T00:00:00Z"/>
        <d v="2020-06-15T00:00:00Z"/>
        <d v="2020-06-17T00:00:00Z"/>
        <d v="2020-06-18T00:00:00Z"/>
        <d v="2020-06-19T00:00:00Z"/>
        <d v="2020-06-22T00:00:00Z"/>
        <d v="2020-06-23T00:00:00Z"/>
        <d v="2020-06-27T00:00:00Z"/>
        <d v="2020-06-28T00:00:00Z"/>
        <d v="2020-06-29T00:00:00Z"/>
        <d v="2020-07-01T00:00:00Z"/>
        <d v="2020-07-03T00:00:00Z"/>
        <d v="2020-07-04T00:00:00Z"/>
        <d v="2020-07-06T00:00:00Z"/>
        <d v="2020-07-09T00:00:00Z"/>
        <d v="2020-07-10T00:00:00Z"/>
        <d v="2020-07-14T00:00:00Z"/>
        <d v="2020-07-17T00:00:00Z"/>
        <d v="2020-07-19T00:00:00Z"/>
        <d v="2020-07-20T00:00:00Z"/>
        <d v="2020-07-22T00:00:00Z"/>
        <d v="2020-07-23T00:00:00Z"/>
        <d v="2020-07-29T00:00:00Z"/>
        <d v="2020-07-31T00:00:00Z"/>
        <d v="2020-08-01T00:00:00Z"/>
        <d v="2020-08-02T00:00:00Z"/>
        <d v="2020-08-03T00:00:00Z"/>
        <d v="2020-08-08T00:00:00Z"/>
        <d v="2020-08-10T00:00:00Z"/>
        <d v="2020-08-11T00:00:00Z"/>
        <d v="2020-08-12T00:00:00Z"/>
        <d v="2020-08-13T00:00:00Z"/>
        <d v="2020-08-14T00:00:00Z"/>
        <d v="2020-08-17T00:00:00Z"/>
        <d v="2020-08-19T00:00:00Z"/>
        <d v="2020-08-20T00:00:00Z"/>
        <d v="2020-08-22T00:00:00Z"/>
        <d v="2020-08-23T00:00:00Z"/>
        <d v="2020-08-24T00:00:00Z"/>
        <d v="2020-08-27T00:00:00Z"/>
        <d v="2020-08-28T00:00:00Z"/>
        <d v="2020-08-31T00:00:00Z"/>
        <d v="2020-09-02T00:00:00Z"/>
        <d v="2020-09-04T00:00:00Z"/>
        <d v="2020-09-08T00:00:00Z"/>
        <d v="2020-09-11T00:00:00Z"/>
        <d v="2020-09-14T00:00:00Z"/>
        <d v="2020-09-16T00:00:00Z"/>
        <d v="2020-09-17T00:00:00Z"/>
        <d v="2020-09-18T00:00:00Z"/>
        <d v="2020-09-20T00:00:00Z"/>
        <d v="2020-09-22T00:00:00Z"/>
        <d v="2020-09-26T00:00:00Z"/>
        <d v="2020-09-27T00:00:00Z"/>
        <d v="2020-09-28T00:00:00Z"/>
        <d v="2020-10-01T00:00:00Z"/>
        <d v="2020-10-02T00:00:00Z"/>
        <d v="2020-10-03T00:00:00Z"/>
        <d v="2020-10-05T00:00:00Z"/>
        <d v="2020-10-07T00:00:00Z"/>
        <d v="2020-10-09T00:00:00Z"/>
        <d v="2020-10-11T00:00:00Z"/>
      </sharedItems>
    </cacheField>
    <cacheField name="Customer Code" numFmtId="0">
      <sharedItems containsSemiMixedTypes="0" containsString="0" containsNumber="1" containsInteger="1">
        <n v="8020.0"/>
        <n v="8060.0"/>
        <n v="8010.0"/>
        <n v="8050.0"/>
      </sharedItems>
    </cacheField>
    <cacheField name="Customer Name" numFmtId="0">
      <sharedItems>
        <s v="Erma"/>
        <s v="Liebher"/>
        <s v="Dellicia"/>
        <s v="Aida GmbH"/>
      </sharedItems>
    </cacheField>
    <cacheField name="Product Code" numFmtId="0">
      <sharedItems containsSemiMixedTypes="0" containsString="0" containsNumber="1" containsInteger="1">
        <n v="108.0"/>
        <n v="103.0"/>
        <n v="110.0"/>
        <n v="109.0"/>
        <n v="105.0"/>
        <n v="104.0"/>
        <n v="106.0"/>
        <n v="107.0"/>
        <n v="113.0"/>
        <n v="101.0"/>
        <n v="118.0"/>
        <n v="117.0"/>
        <n v="102.0"/>
        <n v="111.0"/>
        <n v="114.0"/>
        <n v="116.0"/>
      </sharedItems>
    </cacheField>
    <cacheField name="Product Description" numFmtId="0">
      <sharedItems>
        <s v="Laptop bag black"/>
        <s v="Women type T simple white"/>
        <s v="Smartphone case diamond"/>
        <s v="Laptop bag red"/>
        <s v="Women crop top black"/>
        <s v="Women type T simple black"/>
        <s v="Women basics"/>
        <s v="Men dress shirt black"/>
        <s v="Men type T simple white"/>
        <s v="Men basics"/>
        <s v="Men shorts black"/>
        <s v="Men shorts grey"/>
        <s v="Men type T simple black"/>
        <s v="Smartphone case simple"/>
        <s v="Men dress shirt grey"/>
        <s v="Unisex tank top white"/>
      </sharedItems>
    </cacheField>
    <cacheField name="Quantity" numFmtId="3">
      <sharedItems containsSemiMixedTypes="0" containsString="0" containsNumber="1" containsInteger="1">
        <n v="10.0"/>
        <n v="60.0"/>
        <n v="140.0"/>
        <n v="120.0"/>
        <n v="50.0"/>
        <n v="190.0"/>
        <n v="130.0"/>
        <n v="20.0"/>
        <n v="150.0"/>
        <n v="100.0"/>
        <n v="70.0"/>
        <n v="160.0"/>
        <n v="40.0"/>
        <n v="80.0"/>
        <n v="170.0"/>
        <n v="200.0"/>
        <n v="180.0"/>
        <n v="110.0"/>
        <n v="30.0"/>
      </sharedItems>
    </cacheField>
    <cacheField name="Sales USD" numFmtId="165">
      <sharedItems containsSemiMixedTypes="0" containsString="0" containsNumber="1" containsInteger="1">
        <n v="280.0"/>
        <n v="1970.0"/>
        <n v="1680.0"/>
        <n v="4230.0"/>
        <n v="1440.0"/>
        <n v="3520.0"/>
        <n v="1900.0"/>
        <n v="1560.0"/>
        <n v="1300.0"/>
        <n v="1400.0"/>
        <n v="1800.0"/>
        <n v="600.0"/>
        <n v="2500.0"/>
        <n v="2300.0"/>
        <n v="1600.0"/>
        <n v="480.0"/>
        <n v="560.0"/>
        <n v="100.0"/>
        <n v="1640.0"/>
        <n v="1000.0"/>
        <n v="2630.0"/>
        <n v="4930.0"/>
        <n v="1260.0"/>
        <n v="950.0"/>
        <n v="120.0"/>
        <n v="350.0"/>
        <n v="1410.0"/>
        <n v="850.0"/>
        <n v="2040.0"/>
        <n v="2400.0"/>
        <n v="2160.0"/>
        <n v="1320.0"/>
        <n v="1250.0"/>
        <n v="1200.0"/>
        <n v="1920.0"/>
        <n v="840.0"/>
        <n v="360.0"/>
        <n v="1880.0"/>
        <n v="800.0"/>
        <n v="2280.0"/>
        <n v="224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200" sheet="Data"/>
  </cacheSource>
  <cacheFields>
    <cacheField name="Company" numFmtId="0">
      <sharedItems containsBlank="1">
        <s v="Meta Creations"/>
        <s v="Lucas Basics"/>
        <s v="Urban Right"/>
        <m/>
      </sharedItems>
    </cacheField>
    <cacheField name="Region" numFmtId="0">
      <sharedItems containsBlank="1">
        <s v="America"/>
        <s v="Europe"/>
        <m/>
      </sharedItems>
    </cacheField>
    <cacheField name="Document No" numFmtId="0">
      <sharedItems containsString="0" containsBlank="1" containsNumber="1" containsInteger="1">
        <n v="28112.0"/>
        <n v="45444.0"/>
        <n v="66017.0"/>
        <n v="48112.0"/>
        <n v="66031.0"/>
        <n v="66016.0"/>
        <n v="44031.0"/>
        <n v="68116.0"/>
        <n v="65629.0"/>
        <n v="66015.0"/>
        <n v="68097.0"/>
        <n v="24030.0"/>
        <n v="66030.0"/>
        <n v="45442.0"/>
        <n v="65666.0"/>
        <n v="44016.0"/>
        <n v="65631.0"/>
        <n v="24031.0"/>
        <n v="44017.0"/>
        <n v="45427.0"/>
        <n v="48116.0"/>
        <n v="66032.0"/>
        <n v="25442.0"/>
        <n v="44015.0"/>
        <n v="45446.0"/>
        <n v="48101.0"/>
        <n v="45429.0"/>
        <n v="48097.0"/>
        <n v="48099.0"/>
        <n v="45431.0"/>
        <n v="44032.0"/>
        <n v="68099.0"/>
        <n v="68101.0"/>
        <n v="68112.0"/>
        <n v="65662.0"/>
        <n v="65627.0"/>
        <n v="48114.0"/>
        <n v="44030.0"/>
        <m/>
      </sharedItems>
    </cacheField>
    <cacheField name="Document Date" numFmtId="164">
      <sharedItems containsDate="1" containsString="0" containsBlank="1">
        <d v="2020-05-27T00:00:00Z"/>
        <d v="2020-05-28T00:00:00Z"/>
        <d v="2020-05-29T00:00:00Z"/>
        <d v="2020-05-30T00:00:00Z"/>
        <d v="2020-05-31T00:00:00Z"/>
        <d v="2020-06-01T00:00:00Z"/>
        <d v="2020-06-02T00:00:00Z"/>
        <d v="2020-06-04T00:00:00Z"/>
        <d v="2020-06-07T00:00:00Z"/>
        <d v="2020-06-10T00:00:00Z"/>
        <d v="2020-06-11T00:00:00Z"/>
        <d v="2020-06-13T00:00:00Z"/>
        <d v="2020-06-15T00:00:00Z"/>
        <d v="2020-06-17T00:00:00Z"/>
        <d v="2020-06-18T00:00:00Z"/>
        <d v="2020-06-19T00:00:00Z"/>
        <d v="2020-06-22T00:00:00Z"/>
        <d v="2020-06-23T00:00:00Z"/>
        <d v="2020-06-27T00:00:00Z"/>
        <d v="2020-06-28T00:00:00Z"/>
        <d v="2020-06-29T00:00:00Z"/>
        <d v="2020-07-01T00:00:00Z"/>
        <d v="2020-07-03T00:00:00Z"/>
        <d v="2020-07-04T00:00:00Z"/>
        <d v="2020-07-06T00:00:00Z"/>
        <d v="2020-07-09T00:00:00Z"/>
        <d v="2020-07-10T00:00:00Z"/>
        <d v="2020-07-14T00:00:00Z"/>
        <d v="2020-07-17T00:00:00Z"/>
        <d v="2020-07-19T00:00:00Z"/>
        <d v="2020-07-20T00:00:00Z"/>
        <d v="2020-07-22T00:00:00Z"/>
        <d v="2020-07-23T00:00:00Z"/>
        <d v="2020-07-29T00:00:00Z"/>
        <d v="2020-07-31T00:00:00Z"/>
        <d v="2020-08-01T00:00:00Z"/>
        <d v="2020-08-02T00:00:00Z"/>
        <d v="2020-08-03T00:00:00Z"/>
        <d v="2020-08-08T00:00:00Z"/>
        <d v="2020-08-10T00:00:00Z"/>
        <d v="2020-08-11T00:00:00Z"/>
        <d v="2020-08-12T00:00:00Z"/>
        <d v="2020-08-13T00:00:00Z"/>
        <d v="2020-08-14T00:00:00Z"/>
        <d v="2020-08-17T00:00:00Z"/>
        <d v="2020-08-19T00:00:00Z"/>
        <d v="2020-08-20T00:00:00Z"/>
        <d v="2020-08-22T00:00:00Z"/>
        <d v="2020-08-23T00:00:00Z"/>
        <d v="2020-08-24T00:00:00Z"/>
        <d v="2020-08-27T00:00:00Z"/>
        <d v="2020-08-28T00:00:00Z"/>
        <d v="2020-08-31T00:00:00Z"/>
        <d v="2020-09-02T00:00:00Z"/>
        <d v="2020-09-04T00:00:00Z"/>
        <d v="2020-09-08T00:00:00Z"/>
        <d v="2020-09-11T00:00:00Z"/>
        <d v="2020-09-14T00:00:00Z"/>
        <d v="2020-09-16T00:00:00Z"/>
        <d v="2020-09-17T00:00:00Z"/>
        <d v="2020-09-18T00:00:00Z"/>
        <d v="2020-09-20T00:00:00Z"/>
        <d v="2020-09-22T00:00:00Z"/>
        <d v="2020-09-26T00:00:00Z"/>
        <d v="2020-09-27T00:00:00Z"/>
        <d v="2020-09-28T00:00:00Z"/>
        <d v="2020-10-01T00:00:00Z"/>
        <d v="2020-10-02T00:00:00Z"/>
        <d v="2020-10-03T00:00:00Z"/>
        <d v="2020-10-05T00:00:00Z"/>
        <d v="2020-10-07T00:00:00Z"/>
        <d v="2020-10-09T00:00:00Z"/>
        <d v="2020-10-11T00:00:00Z"/>
        <m/>
      </sharedItems>
    </cacheField>
    <cacheField name="Customer Code" numFmtId="0">
      <sharedItems containsString="0" containsBlank="1" containsNumber="1" containsInteger="1">
        <n v="8020.0"/>
        <n v="8060.0"/>
        <n v="8010.0"/>
        <n v="8050.0"/>
        <m/>
      </sharedItems>
    </cacheField>
    <cacheField name="Customer Name" numFmtId="0">
      <sharedItems containsBlank="1">
        <s v="Erma"/>
        <s v="Liebher"/>
        <s v="Dellicia"/>
        <s v="Aida GmbH"/>
        <m/>
      </sharedItems>
    </cacheField>
    <cacheField name="Product Code" numFmtId="0">
      <sharedItems containsString="0" containsBlank="1" containsNumber="1" containsInteger="1">
        <n v="108.0"/>
        <n v="103.0"/>
        <n v="110.0"/>
        <n v="109.0"/>
        <n v="105.0"/>
        <n v="104.0"/>
        <n v="106.0"/>
        <n v="107.0"/>
        <n v="113.0"/>
        <n v="101.0"/>
        <n v="118.0"/>
        <n v="117.0"/>
        <n v="102.0"/>
        <n v="111.0"/>
        <n v="114.0"/>
        <n v="116.0"/>
        <m/>
      </sharedItems>
    </cacheField>
    <cacheField name="Product Description" numFmtId="0">
      <sharedItems containsBlank="1">
        <s v="Laptop bag black"/>
        <s v="Women type T simple white"/>
        <s v="Smartphone case diamond"/>
        <s v="Laptop bag red"/>
        <s v="Women crop top black"/>
        <s v="Women type T simple black"/>
        <s v="Women basics"/>
        <s v="Men dress shirt black"/>
        <s v="Men type T simple white"/>
        <s v="Men basics"/>
        <s v="Men shorts black"/>
        <s v="Men shorts grey"/>
        <s v="Men type T simple black"/>
        <s v="Smartphone case simple"/>
        <s v="Men dress shirt grey"/>
        <s v="Unisex tank top white"/>
        <m/>
      </sharedItems>
    </cacheField>
    <cacheField name="Quantity" numFmtId="3">
      <sharedItems containsString="0" containsBlank="1" containsNumber="1" containsInteger="1">
        <n v="10.0"/>
        <n v="60.0"/>
        <n v="140.0"/>
        <n v="120.0"/>
        <n v="50.0"/>
        <n v="190.0"/>
        <n v="130.0"/>
        <n v="20.0"/>
        <n v="150.0"/>
        <n v="100.0"/>
        <n v="70.0"/>
        <n v="160.0"/>
        <n v="40.0"/>
        <n v="80.0"/>
        <n v="170.0"/>
        <n v="200.0"/>
        <n v="180.0"/>
        <n v="110.0"/>
        <n v="30.0"/>
        <m/>
      </sharedItems>
    </cacheField>
    <cacheField name="Sales USD" numFmtId="165">
      <sharedItems containsString="0" containsBlank="1" containsNumber="1" containsInteger="1">
        <n v="280.0"/>
        <n v="1970.0"/>
        <n v="1680.0"/>
        <n v="4230.0"/>
        <n v="1440.0"/>
        <n v="3520.0"/>
        <n v="1900.0"/>
        <n v="1560.0"/>
        <n v="1300.0"/>
        <n v="1400.0"/>
        <n v="1800.0"/>
        <n v="600.0"/>
        <n v="2500.0"/>
        <n v="2300.0"/>
        <n v="1600.0"/>
        <n v="480.0"/>
        <n v="560.0"/>
        <n v="100.0"/>
        <n v="1640.0"/>
        <n v="1000.0"/>
        <n v="2630.0"/>
        <n v="4930.0"/>
        <n v="1260.0"/>
        <n v="950.0"/>
        <n v="120.0"/>
        <n v="350.0"/>
        <n v="1410.0"/>
        <n v="850.0"/>
        <n v="2040.0"/>
        <n v="2400.0"/>
        <n v="2160.0"/>
        <n v="1320.0"/>
        <n v="1250.0"/>
        <n v="1200.0"/>
        <n v="1920.0"/>
        <n v="840.0"/>
        <n v="360.0"/>
        <n v="1880.0"/>
        <n v="800.0"/>
        <n v="2280.0"/>
        <n v="2240.0"/>
        <m/>
      </sharedItems>
    </cacheField>
    <cacheField name="Average Price" formula="round('Sales USD'/Quantity,2)" databaseField="0"/>
    <cacheField name="Sales per unique product" formula="round(sum('Sales USD')/countunique('Product Code'),2)" databaseField="0"/>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7:E200" sheet="Challenge"/>
  </cacheSource>
  <cacheFields>
    <cacheField name="Division" numFmtId="0">
      <sharedItems containsBlank="1">
        <s v="Productivity"/>
        <s v="Utility"/>
        <s v="Game"/>
        <m/>
      </sharedItems>
    </cacheField>
    <cacheField name="Region" numFmtId="0">
      <sharedItems containsBlank="1">
        <s v="North America"/>
        <s v="Australia"/>
        <s v="South America"/>
        <s v="Europe"/>
        <s v="Asia"/>
        <m/>
      </sharedItems>
    </cacheField>
    <cacheField name="App" numFmtId="0">
      <sharedItems containsBlank="1">
        <s v="Voltage"/>
        <s v="Atmos"/>
        <s v="Aviatrr"/>
        <s v="Right App"/>
        <s v="deRamblr"/>
        <s v="Kryptis"/>
        <s v="Perino"/>
        <s v="Five Labs"/>
        <s v="Pet Feed"/>
        <s v="Baden"/>
        <s v="Blend"/>
        <s v="Hackrr"/>
        <s v="Twistrr"/>
        <s v="Arcade"/>
        <s v="Accord"/>
        <s v="Misty Wash"/>
        <s v="Pes"/>
        <s v="Jellyfish"/>
        <s v="Fightrr"/>
        <m/>
      </sharedItems>
    </cacheField>
    <cacheField name="Sales" numFmtId="3">
      <sharedItems containsString="0" containsBlank="1" containsNumber="1" containsInteger="1">
        <n v="3416.0"/>
        <n v="0.0"/>
        <n v="5465.0"/>
        <n v="7148.0"/>
        <n v="4469.0"/>
        <n v="463.0"/>
        <n v="2554.0"/>
        <n v="1171.0"/>
        <n v="1340.0"/>
        <n v="12979.0"/>
        <n v="911.0"/>
        <n v="7514.0"/>
        <n v="2732.0"/>
        <n v="5254.0"/>
        <n v="6701.0"/>
        <n v="1220.0"/>
        <n v="8514.0"/>
        <n v="7443.0"/>
        <n v="2483.0"/>
        <n v="15754.0"/>
        <n v="11917.0"/>
        <n v="5108.0"/>
        <n v="1787.0"/>
        <n v="7612.0"/>
        <n v="6130.0"/>
        <n v="684.0"/>
        <n v="12235.0"/>
        <n v="2317.0"/>
        <n v="9731.0"/>
        <n v="497.0"/>
        <n v="4468.0"/>
        <n v="2979.0"/>
        <n v="993.0"/>
        <n v="5808.0"/>
        <n v="4378.0"/>
        <n v="2622.0"/>
        <n v="12771.0"/>
        <n v="3972.0"/>
        <n v="13135.0"/>
        <n v="2508.0"/>
        <n v="927.0"/>
        <n v="3476.0"/>
        <n v="1853.0"/>
        <n v="9267.0"/>
        <n v="1708.0"/>
        <n v="8042.0"/>
        <n v="1390.0"/>
        <n v="3513.0"/>
        <n v="15890.0"/>
        <n v="894.0"/>
        <n v="851.0"/>
        <n v="1748.0"/>
        <n v="1025.0"/>
        <n v="5361.0"/>
        <n v="2210.0"/>
        <n v="1490.0"/>
        <n v="447.0"/>
        <m/>
      </sharedItems>
    </cacheField>
    <cacheField name="Profit" numFmtId="0">
      <sharedItems containsString="0" containsBlank="1" containsNumber="1" containsInteger="1">
        <n v="1270.0"/>
        <n v="0.0"/>
        <n v="650.0"/>
        <n v="4140.0"/>
        <n v="2400.0"/>
        <n v="70.0"/>
        <n v="730.0"/>
        <n v="1080.0"/>
        <n v="60.0"/>
        <n v="6820.0"/>
        <n v="880.0"/>
        <n v="430.0"/>
        <n v="750.0"/>
        <n v="2390.0"/>
        <n v="6470.0"/>
        <n v="500.0"/>
        <n v="910.0"/>
        <n v="7560.0"/>
        <n v="3200.0"/>
        <n v="1190.0"/>
        <n v="5220.0"/>
        <n v="11610.0"/>
        <n v="5010.0"/>
        <n v="960.0"/>
        <n v="1630.0"/>
        <n v="1200.0"/>
        <n v="660.0"/>
        <n v="5130.0"/>
        <n v="2000.0"/>
        <n v="6530.0"/>
        <n v="2520.0"/>
        <n v="480.0"/>
        <n v="240.0"/>
        <n v="140.0"/>
        <n v="3940.0"/>
        <n v="2090.0"/>
        <n v="10960.0"/>
        <n v="920.0"/>
        <n v="10420.0"/>
        <n v="1750.0"/>
        <n v="890.0"/>
        <n v="3420.0"/>
        <n v="310.0"/>
        <n v="550.0"/>
        <n v="6790.0"/>
        <n v="150.0"/>
        <n v="740.0"/>
        <n v="100.0"/>
        <n v="1430.0"/>
        <n v="6240.0"/>
        <n v="380.0"/>
        <n v="3080.0"/>
        <n v="840.0"/>
        <n v="6900.0"/>
        <n v="260.0"/>
        <n v="180.0"/>
        <n v="760.0"/>
        <n v="7450.0"/>
        <n v="2260.0"/>
        <n v="160.0"/>
        <n v="270.0"/>
        <n v="540.0"/>
        <n v="720.0"/>
        <m/>
      </sharedItems>
    </cacheField>
    <cacheField name="Profit to Sales ratio" formula="Profit/Sales" databaseField="0"/>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200" sheet="Data"/>
  </cacheSource>
  <cacheFields>
    <cacheField name="Company" numFmtId="0">
      <sharedItems containsBlank="1">
        <s v="Meta Creations"/>
        <s v="Lucas Basics"/>
        <s v="Urban Right"/>
        <m/>
      </sharedItems>
    </cacheField>
    <cacheField name="Region" numFmtId="0">
      <sharedItems containsBlank="1">
        <s v="America"/>
        <s v="Europe"/>
        <m/>
      </sharedItems>
    </cacheField>
    <cacheField name="Document No" numFmtId="0">
      <sharedItems containsString="0" containsBlank="1" containsNumber="1" containsInteger="1">
        <n v="28112.0"/>
        <n v="45444.0"/>
        <n v="66017.0"/>
        <n v="48112.0"/>
        <n v="66031.0"/>
        <n v="66016.0"/>
        <n v="44031.0"/>
        <n v="68116.0"/>
        <n v="65629.0"/>
        <n v="66015.0"/>
        <n v="68097.0"/>
        <n v="24030.0"/>
        <n v="66030.0"/>
        <n v="45442.0"/>
        <n v="65666.0"/>
        <n v="44016.0"/>
        <n v="65631.0"/>
        <n v="24031.0"/>
        <n v="44017.0"/>
        <n v="45427.0"/>
        <n v="48116.0"/>
        <n v="66032.0"/>
        <n v="25442.0"/>
        <n v="44015.0"/>
        <n v="45446.0"/>
        <n v="48101.0"/>
        <n v="45429.0"/>
        <n v="48097.0"/>
        <n v="48099.0"/>
        <n v="45431.0"/>
        <n v="44032.0"/>
        <n v="68099.0"/>
        <n v="68101.0"/>
        <n v="68112.0"/>
        <n v="65662.0"/>
        <n v="65627.0"/>
        <n v="48114.0"/>
        <n v="44030.0"/>
        <m/>
      </sharedItems>
    </cacheField>
    <cacheField name="Document Date" numFmtId="164">
      <sharedItems containsDate="1" containsString="0" containsBlank="1">
        <d v="2020-05-27T00:00:00Z"/>
        <d v="2020-05-28T00:00:00Z"/>
        <d v="2020-05-29T00:00:00Z"/>
        <d v="2020-05-30T00:00:00Z"/>
        <d v="2020-05-31T00:00:00Z"/>
        <d v="2020-06-01T00:00:00Z"/>
        <d v="2020-06-02T00:00:00Z"/>
        <d v="2020-06-04T00:00:00Z"/>
        <d v="2020-06-07T00:00:00Z"/>
        <d v="2020-06-10T00:00:00Z"/>
        <d v="2020-06-11T00:00:00Z"/>
        <d v="2020-06-13T00:00:00Z"/>
        <d v="2020-06-15T00:00:00Z"/>
        <d v="2020-06-17T00:00:00Z"/>
        <d v="2020-06-18T00:00:00Z"/>
        <d v="2020-06-19T00:00:00Z"/>
        <d v="2020-06-22T00:00:00Z"/>
        <d v="2020-06-23T00:00:00Z"/>
        <d v="2020-06-27T00:00:00Z"/>
        <d v="2020-06-28T00:00:00Z"/>
        <d v="2020-06-29T00:00:00Z"/>
        <d v="2020-07-01T00:00:00Z"/>
        <d v="2020-07-03T00:00:00Z"/>
        <d v="2020-07-04T00:00:00Z"/>
        <d v="2020-07-06T00:00:00Z"/>
        <d v="2020-07-09T00:00:00Z"/>
        <d v="2020-07-10T00:00:00Z"/>
        <d v="2020-07-14T00:00:00Z"/>
        <d v="2020-07-17T00:00:00Z"/>
        <d v="2020-07-19T00:00:00Z"/>
        <d v="2020-07-20T00:00:00Z"/>
        <d v="2020-07-22T00:00:00Z"/>
        <d v="2020-07-23T00:00:00Z"/>
        <d v="2020-07-29T00:00:00Z"/>
        <d v="2020-07-31T00:00:00Z"/>
        <d v="2020-08-01T00:00:00Z"/>
        <d v="2020-08-02T00:00:00Z"/>
        <d v="2020-08-03T00:00:00Z"/>
        <d v="2020-08-08T00:00:00Z"/>
        <d v="2020-08-10T00:00:00Z"/>
        <d v="2020-08-11T00:00:00Z"/>
        <d v="2020-08-12T00:00:00Z"/>
        <d v="2020-08-13T00:00:00Z"/>
        <d v="2020-08-14T00:00:00Z"/>
        <d v="2020-08-17T00:00:00Z"/>
        <d v="2020-08-19T00:00:00Z"/>
        <d v="2020-08-20T00:00:00Z"/>
        <d v="2020-08-22T00:00:00Z"/>
        <d v="2020-08-23T00:00:00Z"/>
        <d v="2020-08-24T00:00:00Z"/>
        <d v="2020-08-27T00:00:00Z"/>
        <d v="2020-08-28T00:00:00Z"/>
        <d v="2020-08-31T00:00:00Z"/>
        <d v="2020-09-02T00:00:00Z"/>
        <d v="2020-09-04T00:00:00Z"/>
        <d v="2020-09-08T00:00:00Z"/>
        <d v="2020-09-11T00:00:00Z"/>
        <d v="2020-09-14T00:00:00Z"/>
        <d v="2020-09-16T00:00:00Z"/>
        <d v="2020-09-17T00:00:00Z"/>
        <d v="2020-09-18T00:00:00Z"/>
        <d v="2020-09-20T00:00:00Z"/>
        <d v="2020-09-22T00:00:00Z"/>
        <d v="2020-09-26T00:00:00Z"/>
        <d v="2020-09-27T00:00:00Z"/>
        <d v="2020-09-28T00:00:00Z"/>
        <d v="2020-10-01T00:00:00Z"/>
        <d v="2020-10-02T00:00:00Z"/>
        <d v="2020-10-03T00:00:00Z"/>
        <d v="2020-10-05T00:00:00Z"/>
        <d v="2020-10-07T00:00:00Z"/>
        <d v="2020-10-09T00:00:00Z"/>
        <d v="2020-10-11T00:00:00Z"/>
        <m/>
      </sharedItems>
    </cacheField>
    <cacheField name="Customer Code" numFmtId="0">
      <sharedItems containsString="0" containsBlank="1" containsNumber="1" containsInteger="1">
        <n v="8020.0"/>
        <n v="8060.0"/>
        <n v="8010.0"/>
        <n v="8050.0"/>
        <m/>
      </sharedItems>
    </cacheField>
    <cacheField name="Customer Name" numFmtId="0">
      <sharedItems containsBlank="1">
        <s v="Erma"/>
        <s v="Liebher"/>
        <s v="Dellicia"/>
        <s v="Aida GmbH"/>
        <m/>
      </sharedItems>
    </cacheField>
    <cacheField name="Product Code" numFmtId="0">
      <sharedItems containsString="0" containsBlank="1" containsNumber="1" containsInteger="1">
        <n v="108.0"/>
        <n v="103.0"/>
        <n v="110.0"/>
        <n v="109.0"/>
        <n v="105.0"/>
        <n v="104.0"/>
        <n v="106.0"/>
        <n v="107.0"/>
        <n v="113.0"/>
        <n v="101.0"/>
        <n v="118.0"/>
        <n v="117.0"/>
        <n v="102.0"/>
        <n v="111.0"/>
        <n v="114.0"/>
        <n v="116.0"/>
        <m/>
      </sharedItems>
    </cacheField>
    <cacheField name="Product Description" numFmtId="0">
      <sharedItems containsBlank="1">
        <s v="Laptop bag black"/>
        <s v="Women type T simple white"/>
        <s v="Smartphone case diamond"/>
        <s v="Laptop bag red"/>
        <s v="Women crop top black"/>
        <s v="Women type T simple black"/>
        <s v="Women basics"/>
        <s v="Men dress shirt black"/>
        <s v="Men type T simple white"/>
        <s v="Men basics"/>
        <s v="Men shorts black"/>
        <s v="Men shorts grey"/>
        <s v="Men type T simple black"/>
        <s v="Smartphone case simple"/>
        <s v="Men dress shirt grey"/>
        <s v="Unisex tank top white"/>
        <m/>
      </sharedItems>
      <fieldGroup par="10"/>
    </cacheField>
    <cacheField name="Quantity" numFmtId="3">
      <sharedItems containsString="0" containsBlank="1" containsNumber="1" containsInteger="1">
        <n v="10.0"/>
        <n v="60.0"/>
        <n v="140.0"/>
        <n v="120.0"/>
        <n v="50.0"/>
        <n v="190.0"/>
        <n v="130.0"/>
        <n v="20.0"/>
        <n v="150.0"/>
        <n v="100.0"/>
        <n v="70.0"/>
        <n v="160.0"/>
        <n v="40.0"/>
        <n v="80.0"/>
        <n v="170.0"/>
        <n v="200.0"/>
        <n v="180.0"/>
        <n v="110.0"/>
        <n v="30.0"/>
        <m/>
      </sharedItems>
    </cacheField>
    <cacheField name="Sales USD" numFmtId="165">
      <sharedItems containsString="0" containsBlank="1" containsNumber="1" containsInteger="1">
        <n v="280.0"/>
        <n v="1970.0"/>
        <n v="1680.0"/>
        <n v="4230.0"/>
        <n v="1440.0"/>
        <n v="3520.0"/>
        <n v="1900.0"/>
        <n v="1560.0"/>
        <n v="1300.0"/>
        <n v="1400.0"/>
        <n v="1800.0"/>
        <n v="600.0"/>
        <n v="2500.0"/>
        <n v="2300.0"/>
        <n v="1600.0"/>
        <n v="480.0"/>
        <n v="560.0"/>
        <n v="100.0"/>
        <n v="1640.0"/>
        <n v="1000.0"/>
        <n v="2630.0"/>
        <n v="4930.0"/>
        <n v="1260.0"/>
        <n v="950.0"/>
        <n v="120.0"/>
        <n v="350.0"/>
        <n v="1410.0"/>
        <n v="850.0"/>
        <n v="2040.0"/>
        <n v="2400.0"/>
        <n v="2160.0"/>
        <n v="1320.0"/>
        <n v="1250.0"/>
        <n v="1200.0"/>
        <n v="1920.0"/>
        <n v="840.0"/>
        <n v="360.0"/>
        <n v="1880.0"/>
        <n v="800.0"/>
        <n v="2280.0"/>
        <n v="2240.0"/>
        <m/>
      </sharedItems>
    </cacheField>
    <cacheField name="product description2" numFmtId="0" databaseField="0">
      <fieldGroup base="7">
        <discretePr>
          <x v="1"/>
          <x v="5"/>
          <x v="3"/>
          <x v="1"/>
          <x v="5"/>
          <x v="5"/>
          <x v="5"/>
          <x v="2"/>
          <x v="2"/>
          <x v="2"/>
          <x v="2"/>
          <x v="2"/>
          <x v="2"/>
          <x v="3"/>
          <x v="2"/>
          <x v="4"/>
          <x v="0"/>
        </discretePr>
        <groupItems>
          <m/>
          <s v="Laptop"/>
          <s v="Men"/>
          <s v="Phone case"/>
          <s v="Unisex"/>
          <s v="Women"/>
        </groupItems>
      </fieldGroup>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200" sheet="Data"/>
  </cacheSource>
  <cacheFields>
    <cacheField name="Company" numFmtId="0">
      <sharedItems containsBlank="1">
        <s v="Meta Creations"/>
        <s v="Lucas Basics"/>
        <s v="Urban Right"/>
        <m/>
      </sharedItems>
    </cacheField>
    <cacheField name="Region" numFmtId="0">
      <sharedItems containsBlank="1">
        <s v="America"/>
        <s v="Europe"/>
        <m/>
      </sharedItems>
    </cacheField>
    <cacheField name="Document No" numFmtId="0">
      <sharedItems containsString="0" containsBlank="1" containsNumber="1" containsInteger="1">
        <n v="28112.0"/>
        <n v="45444.0"/>
        <n v="66017.0"/>
        <n v="48112.0"/>
        <n v="66031.0"/>
        <n v="66016.0"/>
        <n v="44031.0"/>
        <n v="68116.0"/>
        <n v="65629.0"/>
        <n v="66015.0"/>
        <n v="68097.0"/>
        <n v="24030.0"/>
        <n v="66030.0"/>
        <n v="45442.0"/>
        <n v="65666.0"/>
        <n v="44016.0"/>
        <n v="65631.0"/>
        <n v="24031.0"/>
        <n v="44017.0"/>
        <n v="45427.0"/>
        <n v="48116.0"/>
        <n v="66032.0"/>
        <n v="25442.0"/>
        <n v="44015.0"/>
        <n v="45446.0"/>
        <n v="48101.0"/>
        <n v="45429.0"/>
        <n v="48097.0"/>
        <n v="48099.0"/>
        <n v="45431.0"/>
        <n v="44032.0"/>
        <n v="68099.0"/>
        <n v="68101.0"/>
        <n v="68112.0"/>
        <n v="65662.0"/>
        <n v="65627.0"/>
        <n v="48114.0"/>
        <n v="44030.0"/>
        <m/>
      </sharedItems>
    </cacheField>
    <cacheField name="Document Date" numFmtId="164">
      <sharedItems containsDate="1" containsString="0" containsBlank="1">
        <d v="2020-05-27T00:00:00Z"/>
        <d v="2020-05-28T00:00:00Z"/>
        <d v="2020-05-29T00:00:00Z"/>
        <d v="2020-05-30T00:00:00Z"/>
        <d v="2020-05-31T00:00:00Z"/>
        <d v="2020-06-01T00:00:00Z"/>
        <d v="2020-06-02T00:00:00Z"/>
        <d v="2020-06-04T00:00:00Z"/>
        <d v="2020-06-07T00:00:00Z"/>
        <d v="2020-06-10T00:00:00Z"/>
        <d v="2020-06-11T00:00:00Z"/>
        <d v="2020-06-13T00:00:00Z"/>
        <d v="2020-06-15T00:00:00Z"/>
        <d v="2020-06-17T00:00:00Z"/>
        <d v="2020-06-18T00:00:00Z"/>
        <d v="2020-06-19T00:00:00Z"/>
        <d v="2020-06-22T00:00:00Z"/>
        <d v="2020-06-23T00:00:00Z"/>
        <d v="2020-06-27T00:00:00Z"/>
        <d v="2020-06-28T00:00:00Z"/>
        <d v="2020-06-29T00:00:00Z"/>
        <d v="2020-07-01T00:00:00Z"/>
        <d v="2020-07-03T00:00:00Z"/>
        <d v="2020-07-04T00:00:00Z"/>
        <d v="2020-07-06T00:00:00Z"/>
        <d v="2020-07-09T00:00:00Z"/>
        <d v="2020-07-10T00:00:00Z"/>
        <d v="2020-07-14T00:00:00Z"/>
        <d v="2020-07-17T00:00:00Z"/>
        <d v="2020-07-19T00:00:00Z"/>
        <d v="2020-07-20T00:00:00Z"/>
        <d v="2020-07-22T00:00:00Z"/>
        <d v="2020-07-23T00:00:00Z"/>
        <d v="2020-07-29T00:00:00Z"/>
        <d v="2020-07-31T00:00:00Z"/>
        <d v="2020-08-01T00:00:00Z"/>
        <d v="2020-08-02T00:00:00Z"/>
        <d v="2020-08-03T00:00:00Z"/>
        <d v="2020-08-08T00:00:00Z"/>
        <d v="2020-08-10T00:00:00Z"/>
        <d v="2020-08-11T00:00:00Z"/>
        <d v="2020-08-12T00:00:00Z"/>
        <d v="2020-08-13T00:00:00Z"/>
        <d v="2020-08-14T00:00:00Z"/>
        <d v="2020-08-17T00:00:00Z"/>
        <d v="2020-08-19T00:00:00Z"/>
        <d v="2020-08-20T00:00:00Z"/>
        <d v="2020-08-22T00:00:00Z"/>
        <d v="2020-08-23T00:00:00Z"/>
        <d v="2020-08-24T00:00:00Z"/>
        <d v="2020-08-27T00:00:00Z"/>
        <d v="2020-08-28T00:00:00Z"/>
        <d v="2020-08-31T00:00:00Z"/>
        <d v="2020-09-02T00:00:00Z"/>
        <d v="2020-09-04T00:00:00Z"/>
        <d v="2020-09-08T00:00:00Z"/>
        <d v="2020-09-11T00:00:00Z"/>
        <d v="2020-09-14T00:00:00Z"/>
        <d v="2020-09-16T00:00:00Z"/>
        <d v="2020-09-17T00:00:00Z"/>
        <d v="2020-09-18T00:00:00Z"/>
        <d v="2020-09-20T00:00:00Z"/>
        <d v="2020-09-22T00:00:00Z"/>
        <d v="2020-09-26T00:00:00Z"/>
        <d v="2020-09-27T00:00:00Z"/>
        <d v="2020-09-28T00:00:00Z"/>
        <d v="2020-10-01T00:00:00Z"/>
        <d v="2020-10-02T00:00:00Z"/>
        <d v="2020-10-03T00:00:00Z"/>
        <d v="2020-10-05T00:00:00Z"/>
        <d v="2020-10-07T00:00:00Z"/>
        <d v="2020-10-09T00:00:00Z"/>
        <d v="2020-10-11T00:00:00Z"/>
        <m/>
      </sharedItems>
    </cacheField>
    <cacheField name="Customer Code" numFmtId="0">
      <sharedItems containsString="0" containsBlank="1" containsNumber="1" containsInteger="1">
        <n v="8020.0"/>
        <n v="8060.0"/>
        <n v="8010.0"/>
        <n v="8050.0"/>
        <m/>
      </sharedItems>
    </cacheField>
    <cacheField name="Customer Name" numFmtId="0">
      <sharedItems containsBlank="1">
        <s v="Erma"/>
        <s v="Liebher"/>
        <s v="Dellicia"/>
        <s v="Aida GmbH"/>
        <m/>
      </sharedItems>
    </cacheField>
    <cacheField name="Product Code" numFmtId="0">
      <sharedItems containsString="0" containsBlank="1" containsNumber="1" containsInteger="1">
        <n v="108.0"/>
        <n v="103.0"/>
        <n v="110.0"/>
        <n v="109.0"/>
        <n v="105.0"/>
        <n v="104.0"/>
        <n v="106.0"/>
        <n v="107.0"/>
        <n v="113.0"/>
        <n v="101.0"/>
        <n v="118.0"/>
        <n v="117.0"/>
        <n v="102.0"/>
        <n v="111.0"/>
        <n v="114.0"/>
        <n v="116.0"/>
        <m/>
      </sharedItems>
    </cacheField>
    <cacheField name="Product Description" numFmtId="0">
      <sharedItems containsBlank="1">
        <s v="Laptop bag black"/>
        <s v="Women type T simple white"/>
        <s v="Smartphone case diamond"/>
        <s v="Laptop bag red"/>
        <s v="Women crop top black"/>
        <s v="Women type T simple black"/>
        <s v="Women basics"/>
        <s v="Men dress shirt black"/>
        <s v="Men type T simple white"/>
        <s v="Men basics"/>
        <s v="Men shorts black"/>
        <s v="Men shorts grey"/>
        <s v="Men type T simple black"/>
        <s v="Smartphone case simple"/>
        <s v="Men dress shirt grey"/>
        <s v="Unisex tank top white"/>
        <m/>
      </sharedItems>
    </cacheField>
    <cacheField name="Quantity" numFmtId="3">
      <sharedItems containsString="0" containsBlank="1" containsNumber="1" containsInteger="1">
        <n v="10.0"/>
        <n v="60.0"/>
        <n v="140.0"/>
        <n v="120.0"/>
        <n v="50.0"/>
        <n v="190.0"/>
        <n v="130.0"/>
        <n v="20.0"/>
        <n v="150.0"/>
        <n v="100.0"/>
        <n v="70.0"/>
        <n v="160.0"/>
        <n v="40.0"/>
        <n v="80.0"/>
        <n v="170.0"/>
        <n v="200.0"/>
        <n v="180.0"/>
        <n v="110.0"/>
        <n v="30.0"/>
        <m/>
      </sharedItems>
    </cacheField>
    <cacheField name="Sales USD" numFmtId="165">
      <sharedItems containsString="0" containsBlank="1" containsNumber="1" containsInteger="1">
        <n v="280.0"/>
        <n v="1970.0"/>
        <n v="1680.0"/>
        <n v="4230.0"/>
        <n v="1440.0"/>
        <n v="3520.0"/>
        <n v="1900.0"/>
        <n v="1560.0"/>
        <n v="1300.0"/>
        <n v="1400.0"/>
        <n v="1800.0"/>
        <n v="600.0"/>
        <n v="2500.0"/>
        <n v="2300.0"/>
        <n v="1600.0"/>
        <n v="480.0"/>
        <n v="560.0"/>
        <n v="100.0"/>
        <n v="1640.0"/>
        <n v="1000.0"/>
        <n v="2630.0"/>
        <n v="4930.0"/>
        <n v="1260.0"/>
        <n v="950.0"/>
        <n v="120.0"/>
        <n v="350.0"/>
        <n v="1410.0"/>
        <n v="850.0"/>
        <n v="2040.0"/>
        <n v="2400.0"/>
        <n v="2160.0"/>
        <n v="1320.0"/>
        <n v="1250.0"/>
        <n v="1200.0"/>
        <n v="1920.0"/>
        <n v="840.0"/>
        <n v="360.0"/>
        <n v="1880.0"/>
        <n v="800.0"/>
        <n v="2280.0"/>
        <n v="2240.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ata" cacheId="0" dataCaption="" compact="0" compactData="0">
  <location ref="P4:Q21" firstHeaderRow="0" firstDataRow="1" firstDataCol="0"/>
  <pivotFields>
    <pivotField name="Company" compact="0" outline="0" multipleItemSelectionAllowed="1" showAll="0">
      <items>
        <item x="0"/>
        <item x="1"/>
        <item x="2"/>
        <item t="default"/>
      </items>
    </pivotField>
    <pivotField name="Region" compact="0" outline="0" multipleItemSelectionAllowed="1" showAll="0">
      <items>
        <item x="0"/>
        <item x="1"/>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Documen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ustomer Code" compact="0" outline="0" multipleItemSelectionAllowed="1" showAll="0">
      <items>
        <item x="0"/>
        <item x="1"/>
        <item x="2"/>
        <item x="3"/>
        <item t="default"/>
      </items>
    </pivotField>
    <pivotField name="Customer Name" compact="0" outline="0" multipleItemSelectionAllowed="1" showAll="0">
      <items>
        <item x="0"/>
        <item x="1"/>
        <item x="2"/>
        <item x="3"/>
        <item t="default"/>
      </items>
    </pivotField>
    <pivotField name="Product Code" compact="0" outline="0" multipleItemSelectionAllowed="1" showAll="0">
      <items>
        <item x="0"/>
        <item x="1"/>
        <item x="2"/>
        <item x="3"/>
        <item x="4"/>
        <item x="5"/>
        <item x="6"/>
        <item x="7"/>
        <item x="8"/>
        <item x="9"/>
        <item x="10"/>
        <item x="11"/>
        <item x="12"/>
        <item x="13"/>
        <item x="14"/>
        <item x="15"/>
        <item t="default"/>
      </items>
    </pivotField>
    <pivotField name="Product Description" axis="axisRow" compact="0" outline="0" multipleItemSelectionAllowed="1" showAll="0" sortType="a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Quantity" dataField="1" compact="0" numFmtId="3" outline="0" multipleItemSelectionAllowed="1" showAll="0">
      <items>
        <item x="0"/>
        <item x="1"/>
        <item x="2"/>
        <item x="3"/>
        <item x="4"/>
        <item x="5"/>
        <item x="6"/>
        <item x="7"/>
        <item x="8"/>
        <item x="9"/>
        <item x="10"/>
        <item x="11"/>
        <item x="12"/>
        <item x="13"/>
        <item x="14"/>
        <item x="15"/>
        <item x="16"/>
        <item x="17"/>
        <item x="18"/>
        <item t="default"/>
      </items>
    </pivotField>
    <pivotField name="Sales US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s>
  <rowFields>
    <field x="7"/>
  </rowFields>
  <dataFields>
    <dataField name="SUM of Quantity" fld="8"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Pivot Basics" cacheId="0" dataCaption="" colGrandTotals="0" compact="0" compactData="0">
  <location ref="A4:E10" firstHeaderRow="0" firstDataRow="2" firstDataCol="1"/>
  <pivotFields>
    <pivotField name="Company" axis="axisRow" compact="0" outline="0" multipleItemSelectionAllowed="1" showAll="0" sortType="ascending">
      <items>
        <item x="1"/>
        <item x="0"/>
        <item x="2"/>
        <item t="default"/>
      </items>
    </pivotField>
    <pivotField name="Region" axis="axisCol" compact="0" outline="0" multipleItemSelectionAllowed="1" showAll="0" sortType="ascending">
      <items>
        <item x="0"/>
        <item x="1"/>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Documen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ustomer Code" compact="0" outline="0" multipleItemSelectionAllowed="1" showAll="0">
      <items>
        <item x="0"/>
        <item x="1"/>
        <item x="2"/>
        <item x="3"/>
        <item t="default"/>
      </items>
    </pivotField>
    <pivotField name="Customer Name" compact="0" outline="0" multipleItemSelectionAllowed="1" showAll="0">
      <items>
        <item x="0"/>
        <item x="1"/>
        <item x="2"/>
        <item x="3"/>
        <item t="default"/>
      </items>
    </pivotField>
    <pivotField name="Product Code" compact="0" outline="0" multipleItemSelectionAllowed="1" showAll="0">
      <items>
        <item x="0"/>
        <item x="1"/>
        <item x="2"/>
        <item x="3"/>
        <item x="4"/>
        <item x="5"/>
        <item x="6"/>
        <item x="7"/>
        <item x="8"/>
        <item x="9"/>
        <item x="10"/>
        <item x="11"/>
        <item x="12"/>
        <item x="13"/>
        <item x="14"/>
        <item x="15"/>
        <item t="default"/>
      </items>
    </pivotField>
    <pivotField name="Product Description" compact="0" outline="0" multipleItemSelectionAllowed="1" showAll="0">
      <items>
        <item x="0"/>
        <item x="1"/>
        <item x="2"/>
        <item x="3"/>
        <item x="4"/>
        <item x="5"/>
        <item x="6"/>
        <item x="7"/>
        <item x="8"/>
        <item x="9"/>
        <item x="10"/>
        <item x="11"/>
        <item x="12"/>
        <item x="13"/>
        <item x="14"/>
        <item x="15"/>
        <item t="default"/>
      </items>
    </pivotField>
    <pivotField name="Quantity" dataField="1" compact="0" numFmtId="3" outline="0" multipleItemSelectionAllowed="1" showAll="0">
      <items>
        <item x="0"/>
        <item x="1"/>
        <item x="2"/>
        <item x="3"/>
        <item x="4"/>
        <item x="5"/>
        <item x="6"/>
        <item x="7"/>
        <item x="8"/>
        <item x="9"/>
        <item x="10"/>
        <item x="11"/>
        <item x="12"/>
        <item x="13"/>
        <item x="14"/>
        <item x="15"/>
        <item x="16"/>
        <item x="17"/>
        <item x="18"/>
        <item t="default"/>
      </items>
    </pivotField>
    <pivotField name="Sales 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s>
  <rowFields>
    <field x="0"/>
  </rowFields>
  <colFields>
    <field x="1"/>
    <field x="-2"/>
  </colFields>
  <dataFields>
    <dataField name="Quantity" fld="8" baseField="0"/>
    <dataField name="Sales" fld="9"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Filter Slicer" cacheId="1" dataCaption="" compact="0" compactData="0">
  <location ref="A6:C19" firstHeaderRow="0" firstDataRow="2" firstDataCol="0" rowPageCount="3" colPageCount="1"/>
  <pivotFields>
    <pivotField name="Company" axis="axisPage" compact="0" outline="0" multipleItemSelectionAllowed="1" showAll="0">
      <items>
        <item x="0"/>
        <item x="1"/>
        <item x="2"/>
        <item x="3"/>
        <item t="default"/>
      </items>
    </pivotField>
    <pivotField name="Region" axis="axisPage" compact="0" outline="0" multipleItemSelectionAllowed="1" showAll="0">
      <items>
        <item x="0"/>
        <item h="1" x="1"/>
        <item h="1" x="2"/>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ocument Date"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ustomer Code" compact="0" outline="0" multipleItemSelectionAllowed="1" showAll="0">
      <items>
        <item x="0"/>
        <item x="1"/>
        <item x="2"/>
        <item x="3"/>
        <item x="4"/>
        <item t="default"/>
      </items>
    </pivotField>
    <pivotField name="Customer Nam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x="11"/>
        <item x="12"/>
        <item x="13"/>
        <item x="14"/>
        <item x="15"/>
        <item x="16"/>
        <item t="default"/>
      </items>
    </pivotField>
    <pivotField name="Product"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1"/>
            </reference>
          </references>
        </pivotArea>
      </autoSortScope>
    </pivotField>
    <pivotField name="Quantity" dataField="1"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Sales 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7"/>
  </rowFields>
  <colFields>
    <field x="-2"/>
  </colFields>
  <pageFields>
    <pageField fld="3"/>
    <pageField fld="1"/>
    <pageField fld="0"/>
  </pageFields>
  <dataFields>
    <dataField name="Quantity" fld="8" baseField="0"/>
    <dataField name="Sales" fld="9"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Grouping" cacheId="3" dataCaption="" compact="0" compactData="0">
  <location ref="A4:C10" firstHeaderRow="0" firstDataRow="2" firstDataCol="0" rowPageCount="1" colPageCount="1"/>
  <pivotFields>
    <pivotField name="Company" axis="axisPage" compact="0" outline="0" multipleItemSelectionAllowed="1" showAll="0">
      <items>
        <item x="0"/>
        <item x="1"/>
        <item x="2"/>
        <item x="3"/>
        <item t="default"/>
      </items>
    </pivotField>
    <pivotField name="Region" compact="0" outline="0" multipleItemSelectionAllowed="1" showAll="0">
      <items>
        <item x="0"/>
        <item x="1"/>
        <item x="2"/>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ocumen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ustomer Code" compact="0" outline="0" multipleItemSelectionAllowed="1" showAll="0">
      <items>
        <item x="0"/>
        <item x="1"/>
        <item x="2"/>
        <item x="3"/>
        <item x="4"/>
        <item t="default"/>
      </items>
    </pivotField>
    <pivotField name="Customer Nam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x="11"/>
        <item x="12"/>
        <item x="13"/>
        <item x="14"/>
        <item x="15"/>
        <item x="16"/>
        <item t="default"/>
      </items>
    </pivotField>
    <pivotField name="Product" axis="axisRow" compact="0" outline="0" multipleItemSelectionAllowed="1" showAll="0" sortType="ascending">
      <items>
        <item x="16"/>
        <item x="0"/>
        <item x="3"/>
        <item x="9"/>
        <item x="7"/>
        <item x="14"/>
        <item x="10"/>
        <item x="11"/>
        <item x="12"/>
        <item x="8"/>
        <item x="2"/>
        <item x="13"/>
        <item x="15"/>
        <item x="6"/>
        <item x="4"/>
        <item x="5"/>
        <item x="1"/>
        <item t="default"/>
      </items>
    </pivotField>
    <pivotField name="Quantity"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Sales 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Product" axis="axisRow" compact="0" outline="0" multipleItemSelectionAllowed="1" showAll="0" sortType="descending">
      <items>
        <item x="0"/>
        <item sd="0" x="1"/>
        <item sd="0" x="2"/>
        <item sd="0" x="3"/>
        <item sd="0" x="4"/>
        <item sd="0" x="5"/>
        <item t="default"/>
      </items>
      <autoSortScope>
        <pivotArea>
          <references>
            <reference field="4294967294">
              <x v="0"/>
            </reference>
          </references>
        </pivotArea>
      </autoSortScope>
    </pivotField>
  </pivotFields>
  <rowFields>
    <field x="10"/>
    <field x="7"/>
  </rowFields>
  <pageFields>
    <pageField fld="0"/>
  </pageFields>
  <dataFields>
    <dataField name="Sales" fld="9" baseField="0"/>
  </dataFields>
</pivotTableDefinition>
</file>

<file path=xl/pivotTables/pivotTable5.xml><?xml version="1.0" encoding="utf-8"?>
<pivotTableDefinition xmlns="http://schemas.openxmlformats.org/spreadsheetml/2006/main" name="Grouping 2" cacheId="4" dataCaption="" compact="0" compactData="0">
  <location ref="E4:H12" firstHeaderRow="0" firstDataRow="1" firstDataCol="1" rowPageCount="1" colPageCount="1"/>
  <pivotFields>
    <pivotField name="Company" axis="axisPage" compact="0" outline="0" multipleItemSelectionAllowed="1" showAll="0">
      <items>
        <item x="0"/>
        <item x="1"/>
        <item x="2"/>
        <item x="3"/>
        <item t="default"/>
      </items>
    </pivotField>
    <pivotField name="Region" axis="axisCol" compact="0" outline="0" multipleItemSelectionAllowed="1" showAll="0" sortType="ascending">
      <items>
        <item x="2"/>
        <item x="0"/>
        <item x="1"/>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ocument Date" axis="axisRow" compact="0" numFmtId="164" outline="0" multipleItemSelectionAllowed="1" showAll="0" sortType="ascending">
      <items>
        <item x="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ustomer Code" compact="0" outline="0" multipleItemSelectionAllowed="1" showAll="0">
      <items>
        <item x="0"/>
        <item x="1"/>
        <item x="2"/>
        <item x="3"/>
        <item x="4"/>
        <item t="default"/>
      </items>
    </pivotField>
    <pivotField name="Customer Nam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x="11"/>
        <item x="12"/>
        <item x="13"/>
        <item x="14"/>
        <item x="15"/>
        <item x="16"/>
        <item t="default"/>
      </items>
    </pivotField>
    <pivotField name="Product Description" compact="0" outline="0" multipleItemSelectionAllowed="1" showAll="0">
      <items>
        <item x="0"/>
        <item x="1"/>
        <item x="2"/>
        <item x="3"/>
        <item x="4"/>
        <item x="5"/>
        <item x="6"/>
        <item x="7"/>
        <item x="8"/>
        <item x="9"/>
        <item x="10"/>
        <item x="11"/>
        <item x="12"/>
        <item x="13"/>
        <item x="14"/>
        <item x="15"/>
        <item x="16"/>
        <item t="default"/>
      </items>
    </pivotField>
    <pivotField name="Quantity"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Sales 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3"/>
  </rowFields>
  <colFields>
    <field x="1"/>
  </colFields>
  <pageFields>
    <pageField fld="0"/>
  </pageFields>
  <dataFields>
    <dataField name="Sales" fld="9" baseField="0"/>
  </dataFields>
</pivotTableDefinition>
</file>

<file path=xl/pivotTables/pivotTable6.xml><?xml version="1.0" encoding="utf-8"?>
<pivotTableDefinition xmlns="http://schemas.openxmlformats.org/spreadsheetml/2006/main" name="Custom Formulas" cacheId="1" dataCaption="" compact="0" compactData="0">
  <location ref="A4:D21" firstHeaderRow="0" firstDataRow="2" firstDataCol="0" rowPageCount="1" colPageCount="1"/>
  <pivotFields>
    <pivotField name="Company" axis="axisPage" compact="0" outline="0" multipleItemSelectionAllowed="1" showAll="0">
      <items>
        <item x="0"/>
        <item x="1"/>
        <item x="2"/>
        <item x="3"/>
        <item t="default"/>
      </items>
    </pivotField>
    <pivotField name="Region" compact="0" outline="0" multipleItemSelectionAllowed="1" showAll="0">
      <items>
        <item x="0"/>
        <item x="1"/>
        <item x="2"/>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ocumen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ustomer Code" compact="0" outline="0" multipleItemSelectionAllowed="1" showAll="0">
      <items>
        <item x="0"/>
        <item x="1"/>
        <item x="2"/>
        <item x="3"/>
        <item x="4"/>
        <item t="default"/>
      </items>
    </pivotField>
    <pivotField name="Customer Nam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x="11"/>
        <item x="12"/>
        <item x="13"/>
        <item x="14"/>
        <item x="15"/>
        <item x="16"/>
        <item t="default"/>
      </items>
    </pivotField>
    <pivotField name="Product Description" axis="axisRow" compact="0" outline="0" multipleItemSelectionAllowed="1" showAll="0" sortType="ascending">
      <items>
        <item x="16"/>
        <item x="0"/>
        <item x="3"/>
        <item x="9"/>
        <item x="7"/>
        <item x="14"/>
        <item x="10"/>
        <item x="11"/>
        <item x="12"/>
        <item x="8"/>
        <item x="2"/>
        <item x="13"/>
        <item x="15"/>
        <item x="6"/>
        <item x="4"/>
        <item x="5"/>
        <item x="1"/>
        <item t="default"/>
      </items>
    </pivotField>
    <pivotField name="Quantity" dataField="1"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Sales 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7"/>
  </rowFields>
  <colFields>
    <field x="-2"/>
  </colFields>
  <pageFields>
    <pageField fld="0"/>
  </pageFields>
  <dataFields>
    <dataField name="Sales USD" fld="9" baseField="0"/>
    <dataField name="Quantity" fld="8" baseField="0"/>
    <dataField name="SUM of Average Price" fld="10" baseField="0"/>
  </dataFields>
</pivotTableDefinition>
</file>

<file path=xl/pivotTables/pivotTable7.xml><?xml version="1.0" encoding="utf-8"?>
<pivotTableDefinition xmlns="http://schemas.openxmlformats.org/spreadsheetml/2006/main" name="Custom Formulas 2" cacheId="1" dataCaption="" compact="0" compactData="0">
  <location ref="G4:I9" firstHeaderRow="0" firstDataRow="2" firstDataCol="0" rowPageCount="1" colPageCount="1"/>
  <pivotFields>
    <pivotField name="Company" axis="axisPage" compact="0" outline="0" multipleItemSelectionAllowed="1" showAll="0">
      <items>
        <item x="0"/>
        <item x="1"/>
        <item x="2"/>
        <item x="3"/>
        <item t="default"/>
      </items>
    </pivotField>
    <pivotField name="Region" compact="0" outline="0" multipleItemSelectionAllowed="1" showAll="0">
      <items>
        <item x="0"/>
        <item x="1"/>
        <item x="2"/>
        <item t="default"/>
      </items>
    </pivotField>
    <pivotField name="Documen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ocumen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ustomer Code" compact="0" outline="0" multipleItemSelectionAllowed="1" showAll="0">
      <items>
        <item x="0"/>
        <item x="1"/>
        <item x="2"/>
        <item x="3"/>
        <item x="4"/>
        <item t="default"/>
      </items>
    </pivotField>
    <pivotField name="Customer Name" axis="axisRow" compact="0" outline="0" multipleItemSelectionAllowed="1" showAll="0" sortType="ascending">
      <items>
        <item x="4"/>
        <item x="3"/>
        <item x="2"/>
        <item x="0"/>
        <item x="1"/>
        <item t="default"/>
      </items>
    </pivotField>
    <pivotField name="Product Code" compact="0" outline="0" multipleItemSelectionAllowed="1" showAll="0">
      <items>
        <item x="0"/>
        <item x="1"/>
        <item x="2"/>
        <item x="3"/>
        <item x="4"/>
        <item x="5"/>
        <item x="6"/>
        <item x="7"/>
        <item x="8"/>
        <item x="9"/>
        <item x="10"/>
        <item x="11"/>
        <item x="12"/>
        <item x="13"/>
        <item x="14"/>
        <item x="15"/>
        <item x="16"/>
        <item t="default"/>
      </items>
    </pivotField>
    <pivotField name="Product Description" compact="0" outline="0" multipleItemSelectionAllowed="1" showAll="0">
      <items>
        <item x="0"/>
        <item x="1"/>
        <item x="2"/>
        <item x="3"/>
        <item x="4"/>
        <item x="5"/>
        <item x="6"/>
        <item x="7"/>
        <item x="8"/>
        <item x="9"/>
        <item x="10"/>
        <item x="11"/>
        <item x="12"/>
        <item x="13"/>
        <item x="14"/>
        <item x="15"/>
        <item x="16"/>
        <item t="default"/>
      </items>
    </pivotField>
    <pivotField name="Quantity"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Sales 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5"/>
  </rowFields>
  <colFields>
    <field x="-2"/>
  </colFields>
  <pageFields>
    <pageField fld="0"/>
  </pageFields>
  <dataFields>
    <dataField name="Sales USD" fld="9" baseField="0"/>
    <dataField name="SUM of Sales per unique product" fld="11"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Region">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Document Dat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2" caption="Region" rowHeight="247650"/>
  <x14:slicer name="Document Date_2" cache="SlicerCache_Table_1_Col_4" caption="Document Date" rowHeight="247650"/>
</x14:slicers>
</file>

<file path=xl/tables/table1.xml><?xml version="1.0" encoding="utf-8"?>
<table xmlns="http://schemas.openxmlformats.org/spreadsheetml/2006/main" ref="A3:J200" displayName="Table_1" name="Table_1" id="1">
  <autoFilter ref="$A$3:$J$200">
    <filterColumn colId="3">
      <customFilters>
        <customFilter operator="greaterThanOrEqual" val="8/1/2020"/>
      </customFilters>
    </filterColumn>
    <filterColumn colId="1">
      <filters>
        <filter val="America"/>
      </filters>
    </filterColumn>
  </autoFilter>
  <tableColumns count="10">
    <tableColumn name="Company" id="1"/>
    <tableColumn name="Region" id="2"/>
    <tableColumn name="Document No" id="3"/>
    <tableColumn name="Document Date" id="4"/>
    <tableColumn name="Customer Code" id="5"/>
    <tableColumn name="Customer Name" id="6"/>
    <tableColumn name="Product Code" id="7"/>
    <tableColumn name="Product Description" id="8"/>
    <tableColumn name="Quantity" id="9"/>
    <tableColumn name="Sales USD"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E50B3"/>
      </a:accent1>
      <a:accent2>
        <a:srgbClr val="F44234"/>
      </a:accent2>
      <a:accent3>
        <a:srgbClr val="E2F54C"/>
      </a:accent3>
      <a:accent4>
        <a:srgbClr val="02A846"/>
      </a:accent4>
      <a:accent5>
        <a:srgbClr val="E71D62"/>
      </a:accent5>
      <a:accent6>
        <a:srgbClr val="9B26AE"/>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 Id="rId3"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1D62"/>
    <outlinePr summaryBelow="0" summaryRight="0"/>
  </sheetPr>
  <sheetViews>
    <sheetView showGridLines="0" workbookViewId="0"/>
  </sheetViews>
  <sheetFormatPr customHeight="1" defaultColWidth="12.63" defaultRowHeight="15.75"/>
  <cols>
    <col customWidth="1" min="1" max="1" width="3.25"/>
    <col customWidth="1" min="2" max="2" width="9.5"/>
    <col customWidth="1" min="3" max="3" width="36.75"/>
    <col customWidth="1" min="4" max="4" width="3.13"/>
    <col customWidth="1" min="5" max="5" width="21.75"/>
    <col customWidth="1" min="6" max="6" width="37.63"/>
    <col customWidth="1" min="7" max="7" width="7.63"/>
  </cols>
  <sheetData>
    <row r="1">
      <c r="A1" s="1"/>
      <c r="B1" s="2" t="s">
        <v>0</v>
      </c>
    </row>
    <row r="2">
      <c r="A2" s="1"/>
      <c r="B2" s="3" t="s">
        <v>1</v>
      </c>
    </row>
    <row r="3">
      <c r="A3" s="4"/>
      <c r="B3" s="5"/>
      <c r="C3" s="4"/>
      <c r="D3" s="4"/>
      <c r="E3" s="6"/>
      <c r="F3" s="4"/>
      <c r="G3" s="4"/>
    </row>
    <row r="4" ht="24.75" customHeight="1">
      <c r="B4" s="7" t="s">
        <v>2</v>
      </c>
      <c r="C4" s="7" t="s">
        <v>3</v>
      </c>
      <c r="D4" s="8"/>
      <c r="E4" s="7" t="s">
        <v>4</v>
      </c>
      <c r="F4" s="7" t="s">
        <v>5</v>
      </c>
      <c r="G4" s="8"/>
    </row>
    <row r="5" ht="24.0" customHeight="1">
      <c r="A5" s="9"/>
      <c r="B5" s="10" t="s">
        <v>2</v>
      </c>
      <c r="C5" s="11" t="s">
        <v>6</v>
      </c>
      <c r="D5" s="9"/>
      <c r="E5" s="12" t="s">
        <v>7</v>
      </c>
      <c r="F5" s="9"/>
      <c r="G5" s="9"/>
    </row>
    <row r="6">
      <c r="A6" s="13"/>
      <c r="B6" s="14" t="s">
        <v>2</v>
      </c>
      <c r="C6" s="15" t="s">
        <v>8</v>
      </c>
      <c r="D6" s="13"/>
      <c r="E6" s="16" t="s">
        <v>7</v>
      </c>
      <c r="F6" s="13"/>
      <c r="G6" s="13"/>
    </row>
    <row r="7">
      <c r="A7" s="13"/>
      <c r="B7" s="14" t="s">
        <v>2</v>
      </c>
      <c r="C7" s="15" t="s">
        <v>9</v>
      </c>
      <c r="D7" s="13"/>
      <c r="E7" s="16" t="s">
        <v>7</v>
      </c>
      <c r="F7" s="13"/>
      <c r="G7" s="13"/>
    </row>
    <row r="8">
      <c r="A8" s="13"/>
      <c r="B8" s="14" t="s">
        <v>2</v>
      </c>
      <c r="C8" s="15" t="s">
        <v>10</v>
      </c>
      <c r="D8" s="13"/>
      <c r="E8" s="16" t="s">
        <v>7</v>
      </c>
      <c r="F8" s="13"/>
      <c r="G8" s="13"/>
    </row>
    <row r="9">
      <c r="A9" s="13"/>
      <c r="B9" s="14" t="s">
        <v>2</v>
      </c>
      <c r="C9" s="15" t="s">
        <v>11</v>
      </c>
      <c r="D9" s="13"/>
      <c r="E9" s="16" t="s">
        <v>7</v>
      </c>
      <c r="F9" s="13"/>
      <c r="G9" s="13"/>
    </row>
    <row r="10">
      <c r="A10" s="13"/>
      <c r="B10" s="14" t="s">
        <v>2</v>
      </c>
      <c r="C10" s="15" t="s">
        <v>12</v>
      </c>
      <c r="D10" s="13"/>
      <c r="E10" s="16" t="s">
        <v>7</v>
      </c>
      <c r="F10" s="13"/>
      <c r="G10" s="13"/>
    </row>
    <row r="11">
      <c r="A11" s="13"/>
      <c r="B11" s="13"/>
      <c r="C11" s="15"/>
      <c r="D11" s="13"/>
      <c r="E11" s="16"/>
      <c r="F11" s="13"/>
      <c r="G11" s="13"/>
    </row>
    <row r="12">
      <c r="A12" s="13"/>
      <c r="B12" s="13"/>
      <c r="C12" s="15"/>
      <c r="D12" s="13"/>
      <c r="E12" s="16"/>
      <c r="F12" s="13"/>
      <c r="G12" s="13"/>
    </row>
    <row r="13" ht="9.75" customHeight="1">
      <c r="A13" s="4"/>
      <c r="B13" s="4"/>
      <c r="C13" s="17"/>
      <c r="D13" s="4"/>
      <c r="E13" s="4"/>
      <c r="F13" s="4"/>
      <c r="G13" s="4"/>
    </row>
  </sheetData>
  <mergeCells count="2">
    <mergeCell ref="B1:G1"/>
    <mergeCell ref="B2:G2"/>
  </mergeCells>
  <conditionalFormatting sqref="B5:F12">
    <cfRule type="expression" dxfId="0" priority="1">
      <formula>$E5="Done &amp; Understood"</formula>
    </cfRule>
  </conditionalFormatting>
  <conditionalFormatting sqref="B5:F12">
    <cfRule type="expression" dxfId="1" priority="2">
      <formula>$E5="Done but needs practice"</formula>
    </cfRule>
  </conditionalFormatting>
  <conditionalFormatting sqref="B5:F12">
    <cfRule type="expression" dxfId="2" priority="3">
      <formula>$E5="Review Later"</formula>
    </cfRule>
  </conditionalFormatting>
  <dataValidations>
    <dataValidation type="list" allowBlank="1" showInputMessage="1" prompt="Select your level of understanding" sqref="E5:E10">
      <formula1>"Select One…,Done &amp; Understood,Done but needs practice,Review Later"</formula1>
    </dataValidation>
  </dataValidations>
  <hyperlinks>
    <hyperlink display="LINK" location="Data!A1" ref="B5"/>
    <hyperlink display="LINK" location="'Pivot Basics'!A1" ref="B6"/>
    <hyperlink display="LINK" location="'Filter Slicer'!A1" ref="B7"/>
    <hyperlink display="LINK" location="Grouping!A1" ref="B8"/>
    <hyperlink display="LINK" location="'Custom Formulas'!A1" ref="B9"/>
    <hyperlink display="LINK" location="Challenge!A1" ref="B1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12.25"/>
    <col customWidth="1" min="2" max="2" width="7.13"/>
    <col customWidth="1" min="3" max="3" width="8.63"/>
    <col customWidth="1" min="4" max="4" width="9.38"/>
    <col customWidth="1" min="5" max="5" width="8.25"/>
    <col customWidth="1" min="6" max="6" width="9.5"/>
    <col customWidth="1" min="7" max="7" width="7.63"/>
    <col customWidth="1" min="8" max="8" width="21.38"/>
    <col customWidth="1" min="9" max="9" width="7.38"/>
    <col customWidth="1" min="10" max="10" width="8.75"/>
    <col customWidth="1" min="11" max="11" width="2.25"/>
    <col customWidth="1" min="16" max="16" width="21.38"/>
  </cols>
  <sheetData>
    <row r="1">
      <c r="A1" s="18" t="s">
        <v>13</v>
      </c>
      <c r="B1" s="19"/>
      <c r="C1" s="19"/>
      <c r="D1" s="19"/>
      <c r="E1" s="19"/>
      <c r="F1" s="19"/>
      <c r="G1" s="19"/>
      <c r="H1" s="19"/>
      <c r="I1" s="19"/>
      <c r="J1" s="19"/>
      <c r="L1" s="20" t="s">
        <v>14</v>
      </c>
    </row>
    <row r="2">
      <c r="L2" s="20" t="s">
        <v>15</v>
      </c>
    </row>
    <row r="3">
      <c r="A3" s="21" t="s">
        <v>16</v>
      </c>
      <c r="B3" s="21" t="s">
        <v>17</v>
      </c>
      <c r="C3" s="22" t="s">
        <v>18</v>
      </c>
      <c r="D3" s="22" t="s">
        <v>19</v>
      </c>
      <c r="E3" s="22" t="s">
        <v>20</v>
      </c>
      <c r="F3" s="22" t="s">
        <v>21</v>
      </c>
      <c r="G3" s="22" t="s">
        <v>22</v>
      </c>
      <c r="H3" s="21" t="s">
        <v>23</v>
      </c>
      <c r="I3" s="21" t="s">
        <v>24</v>
      </c>
      <c r="J3" s="21" t="s">
        <v>25</v>
      </c>
    </row>
    <row r="4">
      <c r="A4" s="23" t="s">
        <v>26</v>
      </c>
      <c r="B4" s="23" t="s">
        <v>27</v>
      </c>
      <c r="C4" s="23">
        <v>28112.0</v>
      </c>
      <c r="D4" s="24">
        <v>43978.0</v>
      </c>
      <c r="E4" s="23">
        <v>8020.0</v>
      </c>
      <c r="F4" s="23" t="s">
        <v>28</v>
      </c>
      <c r="G4" s="23">
        <v>108.0</v>
      </c>
      <c r="H4" s="23" t="s">
        <v>29</v>
      </c>
      <c r="I4" s="25">
        <v>10.0</v>
      </c>
      <c r="J4" s="26">
        <v>280.0</v>
      </c>
      <c r="M4" s="27" t="str">
        <f>IFERROR(__xludf.DUMMYFUNCTION("UNIQUE(FILTER(F4:F109,F4:F109&lt;&gt;""""))"),"Erma")</f>
        <v>Erma</v>
      </c>
    </row>
    <row r="5">
      <c r="A5" s="23" t="s">
        <v>31</v>
      </c>
      <c r="B5" s="23" t="s">
        <v>32</v>
      </c>
      <c r="C5" s="23">
        <v>45444.0</v>
      </c>
      <c r="D5" s="24">
        <v>43979.0</v>
      </c>
      <c r="E5" s="23">
        <v>8060.0</v>
      </c>
      <c r="F5" s="23" t="s">
        <v>33</v>
      </c>
      <c r="G5" s="23">
        <v>108.0</v>
      </c>
      <c r="H5" s="23" t="s">
        <v>29</v>
      </c>
      <c r="I5" s="25">
        <v>60.0</v>
      </c>
      <c r="J5" s="26">
        <v>1970.0</v>
      </c>
      <c r="M5" s="28" t="str">
        <f>IFERROR(__xludf.DUMMYFUNCTION("""COMPUTED_VALUE"""),"Liebher")</f>
        <v>Liebher</v>
      </c>
    </row>
    <row r="6">
      <c r="A6" s="23" t="s">
        <v>35</v>
      </c>
      <c r="B6" s="23" t="s">
        <v>27</v>
      </c>
      <c r="C6" s="23">
        <v>66017.0</v>
      </c>
      <c r="D6" s="24">
        <v>43980.0</v>
      </c>
      <c r="E6" s="23">
        <v>8010.0</v>
      </c>
      <c r="F6" s="23" t="s">
        <v>36</v>
      </c>
      <c r="G6" s="23">
        <v>103.0</v>
      </c>
      <c r="H6" s="23" t="s">
        <v>37</v>
      </c>
      <c r="I6" s="25">
        <v>140.0</v>
      </c>
      <c r="J6" s="26">
        <v>1680.0</v>
      </c>
      <c r="M6" s="28" t="str">
        <f>IFERROR(__xludf.DUMMYFUNCTION("""COMPUTED_VALUE"""),"Dellicia")</f>
        <v>Dellicia</v>
      </c>
    </row>
    <row r="7">
      <c r="A7" s="23" t="s">
        <v>31</v>
      </c>
      <c r="B7" s="23" t="s">
        <v>32</v>
      </c>
      <c r="C7" s="23">
        <v>45444.0</v>
      </c>
      <c r="D7" s="24">
        <v>43980.0</v>
      </c>
      <c r="E7" s="23">
        <v>8060.0</v>
      </c>
      <c r="F7" s="23" t="s">
        <v>33</v>
      </c>
      <c r="G7" s="23">
        <v>110.0</v>
      </c>
      <c r="H7" s="23" t="s">
        <v>38</v>
      </c>
      <c r="I7" s="25">
        <v>60.0</v>
      </c>
      <c r="J7" s="26">
        <v>4230.0</v>
      </c>
      <c r="M7" s="28" t="str">
        <f>IFERROR(__xludf.DUMMYFUNCTION("""COMPUTED_VALUE"""),"Aida GmbH")</f>
        <v>Aida GmbH</v>
      </c>
    </row>
    <row r="8">
      <c r="A8" s="23" t="s">
        <v>31</v>
      </c>
      <c r="B8" s="23" t="s">
        <v>32</v>
      </c>
      <c r="C8" s="23">
        <v>48112.0</v>
      </c>
      <c r="D8" s="24">
        <v>43981.0</v>
      </c>
      <c r="E8" s="23">
        <v>8060.0</v>
      </c>
      <c r="F8" s="23" t="s">
        <v>33</v>
      </c>
      <c r="G8" s="23">
        <v>109.0</v>
      </c>
      <c r="H8" s="23" t="s">
        <v>40</v>
      </c>
      <c r="I8" s="25">
        <v>60.0</v>
      </c>
      <c r="J8" s="26">
        <v>1970.0</v>
      </c>
    </row>
    <row r="9">
      <c r="A9" s="23" t="s">
        <v>35</v>
      </c>
      <c r="B9" s="23" t="s">
        <v>27</v>
      </c>
      <c r="C9" s="23">
        <v>66031.0</v>
      </c>
      <c r="D9" s="24">
        <v>43982.0</v>
      </c>
      <c r="E9" s="23">
        <v>8020.0</v>
      </c>
      <c r="F9" s="23" t="s">
        <v>28</v>
      </c>
      <c r="G9" s="23">
        <v>103.0</v>
      </c>
      <c r="H9" s="23" t="s">
        <v>37</v>
      </c>
      <c r="I9" s="25">
        <v>140.0</v>
      </c>
      <c r="J9" s="26">
        <v>1680.0</v>
      </c>
    </row>
    <row r="10">
      <c r="A10" s="23" t="s">
        <v>35</v>
      </c>
      <c r="B10" s="23" t="s">
        <v>27</v>
      </c>
      <c r="C10" s="23">
        <v>66016.0</v>
      </c>
      <c r="D10" s="24">
        <v>43982.0</v>
      </c>
      <c r="E10" s="23">
        <v>8020.0</v>
      </c>
      <c r="F10" s="23" t="s">
        <v>28</v>
      </c>
      <c r="G10" s="23">
        <v>103.0</v>
      </c>
      <c r="H10" s="23" t="s">
        <v>37</v>
      </c>
      <c r="I10" s="25">
        <v>120.0</v>
      </c>
      <c r="J10" s="26">
        <v>1440.0</v>
      </c>
    </row>
    <row r="11">
      <c r="A11" s="23" t="s">
        <v>31</v>
      </c>
      <c r="B11" s="23" t="s">
        <v>32</v>
      </c>
      <c r="C11" s="23">
        <v>44031.0</v>
      </c>
      <c r="D11" s="24">
        <v>43983.0</v>
      </c>
      <c r="E11" s="23">
        <v>8050.0</v>
      </c>
      <c r="F11" s="23" t="s">
        <v>42</v>
      </c>
      <c r="G11" s="23">
        <v>110.0</v>
      </c>
      <c r="H11" s="23" t="s">
        <v>38</v>
      </c>
      <c r="I11" s="25">
        <v>60.0</v>
      </c>
      <c r="J11" s="26">
        <v>4230.0</v>
      </c>
    </row>
    <row r="12">
      <c r="A12" s="23" t="s">
        <v>31</v>
      </c>
      <c r="B12" s="23" t="s">
        <v>32</v>
      </c>
      <c r="C12" s="23">
        <v>48112.0</v>
      </c>
      <c r="D12" s="24">
        <v>43984.0</v>
      </c>
      <c r="E12" s="23">
        <v>8060.0</v>
      </c>
      <c r="F12" s="23" t="s">
        <v>33</v>
      </c>
      <c r="G12" s="23">
        <v>110.0</v>
      </c>
      <c r="H12" s="23" t="s">
        <v>38</v>
      </c>
      <c r="I12" s="25">
        <v>50.0</v>
      </c>
      <c r="J12" s="26">
        <v>3520.0</v>
      </c>
    </row>
    <row r="13">
      <c r="A13" s="23" t="s">
        <v>35</v>
      </c>
      <c r="B13" s="23" t="s">
        <v>27</v>
      </c>
      <c r="C13" s="23">
        <v>68116.0</v>
      </c>
      <c r="D13" s="24">
        <v>43986.0</v>
      </c>
      <c r="E13" s="23">
        <v>8020.0</v>
      </c>
      <c r="F13" s="23" t="s">
        <v>28</v>
      </c>
      <c r="G13" s="23">
        <v>105.0</v>
      </c>
      <c r="H13" s="23" t="s">
        <v>39</v>
      </c>
      <c r="I13" s="25">
        <v>190.0</v>
      </c>
      <c r="J13" s="26">
        <v>1900.0</v>
      </c>
    </row>
    <row r="14">
      <c r="A14" s="23" t="s">
        <v>35</v>
      </c>
      <c r="B14" s="23" t="s">
        <v>27</v>
      </c>
      <c r="C14" s="23">
        <v>65629.0</v>
      </c>
      <c r="D14" s="24">
        <v>43989.0</v>
      </c>
      <c r="E14" s="23">
        <v>8010.0</v>
      </c>
      <c r="F14" s="23" t="s">
        <v>36</v>
      </c>
      <c r="G14" s="23">
        <v>104.0</v>
      </c>
      <c r="H14" s="23" t="s">
        <v>34</v>
      </c>
      <c r="I14" s="25">
        <v>130.0</v>
      </c>
      <c r="J14" s="26">
        <v>1560.0</v>
      </c>
    </row>
    <row r="15">
      <c r="A15" s="23" t="s">
        <v>35</v>
      </c>
      <c r="B15" s="23" t="s">
        <v>27</v>
      </c>
      <c r="C15" s="23">
        <v>66015.0</v>
      </c>
      <c r="D15" s="24">
        <v>43992.0</v>
      </c>
      <c r="E15" s="23">
        <v>8010.0</v>
      </c>
      <c r="F15" s="23" t="s">
        <v>36</v>
      </c>
      <c r="G15" s="23">
        <v>104.0</v>
      </c>
      <c r="H15" s="23" t="s">
        <v>34</v>
      </c>
      <c r="I15" s="25">
        <v>140.0</v>
      </c>
      <c r="J15" s="26">
        <v>1680.0</v>
      </c>
    </row>
    <row r="16">
      <c r="A16" s="23" t="s">
        <v>35</v>
      </c>
      <c r="B16" s="23" t="s">
        <v>27</v>
      </c>
      <c r="C16" s="23">
        <v>68097.0</v>
      </c>
      <c r="D16" s="24">
        <v>43992.0</v>
      </c>
      <c r="E16" s="23">
        <v>8010.0</v>
      </c>
      <c r="F16" s="23" t="s">
        <v>36</v>
      </c>
      <c r="G16" s="23">
        <v>105.0</v>
      </c>
      <c r="H16" s="23" t="s">
        <v>39</v>
      </c>
      <c r="I16" s="25">
        <v>130.0</v>
      </c>
      <c r="J16" s="26">
        <v>1300.0</v>
      </c>
    </row>
    <row r="17">
      <c r="A17" s="23" t="s">
        <v>26</v>
      </c>
      <c r="B17" s="23" t="s">
        <v>27</v>
      </c>
      <c r="C17" s="23">
        <v>24030.0</v>
      </c>
      <c r="D17" s="24">
        <v>43992.0</v>
      </c>
      <c r="E17" s="23">
        <v>8020.0</v>
      </c>
      <c r="F17" s="23" t="s">
        <v>28</v>
      </c>
      <c r="G17" s="23">
        <v>106.0</v>
      </c>
      <c r="H17" s="23" t="s">
        <v>38</v>
      </c>
      <c r="I17" s="25">
        <v>20.0</v>
      </c>
      <c r="J17" s="26">
        <v>1400.0</v>
      </c>
    </row>
    <row r="18">
      <c r="A18" s="23" t="s">
        <v>35</v>
      </c>
      <c r="B18" s="23" t="s">
        <v>27</v>
      </c>
      <c r="C18" s="23">
        <v>66030.0</v>
      </c>
      <c r="D18" s="24">
        <v>43993.0</v>
      </c>
      <c r="E18" s="23">
        <v>8010.0</v>
      </c>
      <c r="F18" s="23" t="s">
        <v>36</v>
      </c>
      <c r="G18" s="23">
        <v>104.0</v>
      </c>
      <c r="H18" s="23" t="s">
        <v>34</v>
      </c>
      <c r="I18" s="25">
        <v>150.0</v>
      </c>
      <c r="J18" s="26">
        <v>1800.0</v>
      </c>
    </row>
    <row r="19">
      <c r="A19" s="23" t="s">
        <v>31</v>
      </c>
      <c r="B19" s="23" t="s">
        <v>32</v>
      </c>
      <c r="C19" s="23">
        <v>45442.0</v>
      </c>
      <c r="D19" s="24">
        <v>43993.0</v>
      </c>
      <c r="E19" s="23">
        <v>8050.0</v>
      </c>
      <c r="F19" s="23" t="s">
        <v>42</v>
      </c>
      <c r="G19" s="23">
        <v>109.0</v>
      </c>
      <c r="H19" s="23" t="s">
        <v>40</v>
      </c>
      <c r="I19" s="25">
        <v>60.0</v>
      </c>
      <c r="J19" s="26">
        <v>1970.0</v>
      </c>
    </row>
    <row r="20">
      <c r="A20" s="23" t="s">
        <v>35</v>
      </c>
      <c r="B20" s="23" t="s">
        <v>27</v>
      </c>
      <c r="C20" s="23">
        <v>65666.0</v>
      </c>
      <c r="D20" s="24">
        <v>43995.0</v>
      </c>
      <c r="E20" s="23">
        <v>8020.0</v>
      </c>
      <c r="F20" s="23" t="s">
        <v>28</v>
      </c>
      <c r="G20" s="23">
        <v>107.0</v>
      </c>
      <c r="H20" s="23" t="s">
        <v>41</v>
      </c>
      <c r="I20" s="25">
        <v>120.0</v>
      </c>
      <c r="J20" s="26">
        <v>600.0</v>
      </c>
    </row>
    <row r="21">
      <c r="A21" s="23" t="s">
        <v>31</v>
      </c>
      <c r="B21" s="23" t="s">
        <v>32</v>
      </c>
      <c r="C21" s="23">
        <v>44016.0</v>
      </c>
      <c r="D21" s="24">
        <v>43997.0</v>
      </c>
      <c r="E21" s="23">
        <v>8050.0</v>
      </c>
      <c r="F21" s="23" t="s">
        <v>42</v>
      </c>
      <c r="G21" s="23">
        <v>110.0</v>
      </c>
      <c r="H21" s="23" t="s">
        <v>38</v>
      </c>
      <c r="I21" s="25">
        <v>50.0</v>
      </c>
      <c r="J21" s="26">
        <v>3520.0</v>
      </c>
    </row>
    <row r="22">
      <c r="A22" s="23" t="s">
        <v>35</v>
      </c>
      <c r="B22" s="23" t="s">
        <v>27</v>
      </c>
      <c r="C22" s="23">
        <v>65631.0</v>
      </c>
      <c r="D22" s="24">
        <v>43999.0</v>
      </c>
      <c r="E22" s="23">
        <v>8020.0</v>
      </c>
      <c r="F22" s="23" t="s">
        <v>28</v>
      </c>
      <c r="G22" s="23">
        <v>103.0</v>
      </c>
      <c r="H22" s="23" t="s">
        <v>37</v>
      </c>
      <c r="I22" s="25">
        <v>120.0</v>
      </c>
      <c r="J22" s="26">
        <v>1440.0</v>
      </c>
    </row>
    <row r="23">
      <c r="A23" s="23" t="s">
        <v>26</v>
      </c>
      <c r="B23" s="23" t="s">
        <v>27</v>
      </c>
      <c r="C23" s="23">
        <v>24031.0</v>
      </c>
      <c r="D23" s="24">
        <v>43999.0</v>
      </c>
      <c r="E23" s="23">
        <v>8020.0</v>
      </c>
      <c r="F23" s="23" t="s">
        <v>28</v>
      </c>
      <c r="G23" s="23">
        <v>113.0</v>
      </c>
      <c r="H23" s="23" t="s">
        <v>49</v>
      </c>
      <c r="I23" s="25">
        <v>100.0</v>
      </c>
      <c r="J23" s="26">
        <v>2500.0</v>
      </c>
    </row>
    <row r="24">
      <c r="A24" s="23" t="s">
        <v>31</v>
      </c>
      <c r="B24" s="23" t="s">
        <v>32</v>
      </c>
      <c r="C24" s="23">
        <v>44017.0</v>
      </c>
      <c r="D24" s="24">
        <v>43999.0</v>
      </c>
      <c r="E24" s="23">
        <v>8060.0</v>
      </c>
      <c r="F24" s="23" t="s">
        <v>33</v>
      </c>
      <c r="G24" s="23">
        <v>108.0</v>
      </c>
      <c r="H24" s="23" t="s">
        <v>29</v>
      </c>
      <c r="I24" s="25">
        <v>70.0</v>
      </c>
      <c r="J24" s="26">
        <v>2300.0</v>
      </c>
    </row>
    <row r="25">
      <c r="A25" s="23" t="s">
        <v>31</v>
      </c>
      <c r="B25" s="23" t="s">
        <v>32</v>
      </c>
      <c r="C25" s="23">
        <v>45427.0</v>
      </c>
      <c r="D25" s="24">
        <v>44000.0</v>
      </c>
      <c r="E25" s="23">
        <v>8050.0</v>
      </c>
      <c r="F25" s="23" t="s">
        <v>42</v>
      </c>
      <c r="G25" s="23">
        <v>109.0</v>
      </c>
      <c r="H25" s="23" t="s">
        <v>40</v>
      </c>
      <c r="I25" s="25">
        <v>60.0</v>
      </c>
      <c r="J25" s="26">
        <v>1970.0</v>
      </c>
    </row>
    <row r="26">
      <c r="A26" s="23" t="s">
        <v>35</v>
      </c>
      <c r="B26" s="23" t="s">
        <v>27</v>
      </c>
      <c r="C26" s="23">
        <v>65666.0</v>
      </c>
      <c r="D26" s="24">
        <v>44001.0</v>
      </c>
      <c r="E26" s="23">
        <v>8010.0</v>
      </c>
      <c r="F26" s="23" t="s">
        <v>36</v>
      </c>
      <c r="G26" s="23">
        <v>105.0</v>
      </c>
      <c r="H26" s="23" t="s">
        <v>39</v>
      </c>
      <c r="I26" s="25">
        <v>160.0</v>
      </c>
      <c r="J26" s="26">
        <v>1600.0</v>
      </c>
    </row>
    <row r="27">
      <c r="A27" s="23" t="s">
        <v>26</v>
      </c>
      <c r="B27" s="23" t="s">
        <v>27</v>
      </c>
      <c r="C27" s="23">
        <v>28112.0</v>
      </c>
      <c r="D27" s="24">
        <v>44004.0</v>
      </c>
      <c r="E27" s="23">
        <v>8020.0</v>
      </c>
      <c r="F27" s="23" t="s">
        <v>28</v>
      </c>
      <c r="G27" s="23">
        <v>101.0</v>
      </c>
      <c r="H27" s="23" t="s">
        <v>43</v>
      </c>
      <c r="I27" s="25">
        <v>40.0</v>
      </c>
      <c r="J27" s="26">
        <v>480.0</v>
      </c>
    </row>
    <row r="28">
      <c r="A28" s="23" t="s">
        <v>31</v>
      </c>
      <c r="B28" s="23" t="s">
        <v>32</v>
      </c>
      <c r="C28" s="23">
        <v>48116.0</v>
      </c>
      <c r="D28" s="24">
        <v>44004.0</v>
      </c>
      <c r="E28" s="23">
        <v>8060.0</v>
      </c>
      <c r="F28" s="23" t="s">
        <v>33</v>
      </c>
      <c r="G28" s="23">
        <v>110.0</v>
      </c>
      <c r="H28" s="23" t="s">
        <v>38</v>
      </c>
      <c r="I28" s="25">
        <v>60.0</v>
      </c>
      <c r="J28" s="26">
        <v>4230.0</v>
      </c>
    </row>
    <row r="29">
      <c r="A29" s="23" t="s">
        <v>35</v>
      </c>
      <c r="B29" s="23" t="s">
        <v>27</v>
      </c>
      <c r="C29" s="23">
        <v>66032.0</v>
      </c>
      <c r="D29" s="24">
        <v>44005.0</v>
      </c>
      <c r="E29" s="23">
        <v>8010.0</v>
      </c>
      <c r="F29" s="23" t="s">
        <v>36</v>
      </c>
      <c r="G29" s="23">
        <v>104.0</v>
      </c>
      <c r="H29" s="23" t="s">
        <v>34</v>
      </c>
      <c r="I29" s="25">
        <v>140.0</v>
      </c>
      <c r="J29" s="26">
        <v>1680.0</v>
      </c>
    </row>
    <row r="30">
      <c r="A30" s="23" t="s">
        <v>26</v>
      </c>
      <c r="B30" s="23" t="s">
        <v>27</v>
      </c>
      <c r="C30" s="23">
        <v>24031.0</v>
      </c>
      <c r="D30" s="24">
        <v>44005.0</v>
      </c>
      <c r="E30" s="23">
        <v>8020.0</v>
      </c>
      <c r="F30" s="23" t="s">
        <v>28</v>
      </c>
      <c r="G30" s="23">
        <v>108.0</v>
      </c>
      <c r="H30" s="23" t="s">
        <v>29</v>
      </c>
      <c r="I30" s="25">
        <v>20.0</v>
      </c>
      <c r="J30" s="26">
        <v>560.0</v>
      </c>
    </row>
    <row r="31">
      <c r="A31" s="23" t="s">
        <v>35</v>
      </c>
      <c r="B31" s="23" t="s">
        <v>27</v>
      </c>
      <c r="C31" s="23">
        <v>66030.0</v>
      </c>
      <c r="D31" s="24">
        <v>44009.0</v>
      </c>
      <c r="E31" s="23">
        <v>8010.0</v>
      </c>
      <c r="F31" s="23" t="s">
        <v>36</v>
      </c>
      <c r="G31" s="23">
        <v>103.0</v>
      </c>
      <c r="H31" s="23" t="s">
        <v>37</v>
      </c>
      <c r="I31" s="25">
        <v>120.0</v>
      </c>
      <c r="J31" s="26">
        <v>1440.0</v>
      </c>
    </row>
    <row r="32">
      <c r="A32" s="23" t="s">
        <v>35</v>
      </c>
      <c r="B32" s="23" t="s">
        <v>27</v>
      </c>
      <c r="C32" s="23">
        <v>66017.0</v>
      </c>
      <c r="D32" s="24">
        <v>44010.0</v>
      </c>
      <c r="E32" s="23">
        <v>8010.0</v>
      </c>
      <c r="F32" s="23" t="s">
        <v>36</v>
      </c>
      <c r="G32" s="23">
        <v>104.0</v>
      </c>
      <c r="H32" s="23" t="s">
        <v>34</v>
      </c>
      <c r="I32" s="25">
        <v>140.0</v>
      </c>
      <c r="J32" s="26">
        <v>1680.0</v>
      </c>
    </row>
    <row r="33">
      <c r="A33" s="23" t="s">
        <v>26</v>
      </c>
      <c r="B33" s="23" t="s">
        <v>27</v>
      </c>
      <c r="C33" s="23">
        <v>25442.0</v>
      </c>
      <c r="D33" s="24">
        <v>44011.0</v>
      </c>
      <c r="E33" s="23">
        <v>8010.0</v>
      </c>
      <c r="F33" s="23" t="s">
        <v>36</v>
      </c>
      <c r="G33" s="23">
        <v>106.0</v>
      </c>
      <c r="H33" s="23" t="s">
        <v>50</v>
      </c>
      <c r="I33" s="25">
        <v>20.0</v>
      </c>
      <c r="J33" s="26">
        <v>100.0</v>
      </c>
    </row>
    <row r="34">
      <c r="A34" s="23" t="s">
        <v>31</v>
      </c>
      <c r="B34" s="23" t="s">
        <v>32</v>
      </c>
      <c r="C34" s="23">
        <v>44015.0</v>
      </c>
      <c r="D34" s="24">
        <v>44013.0</v>
      </c>
      <c r="E34" s="23">
        <v>8060.0</v>
      </c>
      <c r="F34" s="23" t="s">
        <v>33</v>
      </c>
      <c r="G34" s="23">
        <v>109.0</v>
      </c>
      <c r="H34" s="23" t="s">
        <v>40</v>
      </c>
      <c r="I34" s="25">
        <v>70.0</v>
      </c>
      <c r="J34" s="26">
        <v>2300.0</v>
      </c>
    </row>
    <row r="35">
      <c r="A35" s="23" t="s">
        <v>31</v>
      </c>
      <c r="B35" s="23" t="s">
        <v>32</v>
      </c>
      <c r="C35" s="23">
        <v>45446.0</v>
      </c>
      <c r="D35" s="24">
        <v>44015.0</v>
      </c>
      <c r="E35" s="23">
        <v>8050.0</v>
      </c>
      <c r="F35" s="23" t="s">
        <v>42</v>
      </c>
      <c r="G35" s="23">
        <v>108.0</v>
      </c>
      <c r="H35" s="23" t="s">
        <v>29</v>
      </c>
      <c r="I35" s="25">
        <v>50.0</v>
      </c>
      <c r="J35" s="26">
        <v>1640.0</v>
      </c>
    </row>
    <row r="36">
      <c r="A36" s="23" t="s">
        <v>31</v>
      </c>
      <c r="B36" s="23" t="s">
        <v>32</v>
      </c>
      <c r="C36" s="23">
        <v>48101.0</v>
      </c>
      <c r="D36" s="24">
        <v>44016.0</v>
      </c>
      <c r="E36" s="23">
        <v>8060.0</v>
      </c>
      <c r="F36" s="23" t="s">
        <v>33</v>
      </c>
      <c r="G36" s="23">
        <v>110.0</v>
      </c>
      <c r="H36" s="23" t="s">
        <v>38</v>
      </c>
      <c r="I36" s="25">
        <v>50.0</v>
      </c>
      <c r="J36" s="26">
        <v>3520.0</v>
      </c>
    </row>
    <row r="37">
      <c r="A37" s="23" t="s">
        <v>35</v>
      </c>
      <c r="B37" s="23" t="s">
        <v>27</v>
      </c>
      <c r="C37" s="23">
        <v>66031.0</v>
      </c>
      <c r="D37" s="24">
        <v>44018.0</v>
      </c>
      <c r="E37" s="23">
        <v>8020.0</v>
      </c>
      <c r="F37" s="23" t="s">
        <v>28</v>
      </c>
      <c r="G37" s="23">
        <v>105.0</v>
      </c>
      <c r="H37" s="23" t="s">
        <v>39</v>
      </c>
      <c r="I37" s="25">
        <v>100.0</v>
      </c>
      <c r="J37" s="26">
        <v>1000.0</v>
      </c>
    </row>
    <row r="38">
      <c r="A38" s="23" t="s">
        <v>31</v>
      </c>
      <c r="B38" s="23" t="s">
        <v>32</v>
      </c>
      <c r="C38" s="23">
        <v>45429.0</v>
      </c>
      <c r="D38" s="24">
        <v>44018.0</v>
      </c>
      <c r="E38" s="23">
        <v>8060.0</v>
      </c>
      <c r="F38" s="23" t="s">
        <v>33</v>
      </c>
      <c r="G38" s="23">
        <v>110.0</v>
      </c>
      <c r="H38" s="23" t="s">
        <v>38</v>
      </c>
      <c r="I38" s="25">
        <v>50.0</v>
      </c>
      <c r="J38" s="26">
        <v>3520.0</v>
      </c>
    </row>
    <row r="39">
      <c r="A39" s="23" t="s">
        <v>31</v>
      </c>
      <c r="B39" s="23" t="s">
        <v>32</v>
      </c>
      <c r="C39" s="23">
        <v>45429.0</v>
      </c>
      <c r="D39" s="24">
        <v>44021.0</v>
      </c>
      <c r="E39" s="23">
        <v>8060.0</v>
      </c>
      <c r="F39" s="23" t="s">
        <v>33</v>
      </c>
      <c r="G39" s="23">
        <v>109.0</v>
      </c>
      <c r="H39" s="23" t="s">
        <v>40</v>
      </c>
      <c r="I39" s="25">
        <v>80.0</v>
      </c>
      <c r="J39" s="26">
        <v>2630.0</v>
      </c>
    </row>
    <row r="40">
      <c r="A40" s="23" t="s">
        <v>31</v>
      </c>
      <c r="B40" s="23" t="s">
        <v>32</v>
      </c>
      <c r="C40" s="23">
        <v>44031.0</v>
      </c>
      <c r="D40" s="24">
        <v>44022.0</v>
      </c>
      <c r="E40" s="23">
        <v>8050.0</v>
      </c>
      <c r="F40" s="23" t="s">
        <v>42</v>
      </c>
      <c r="G40" s="23">
        <v>109.0</v>
      </c>
      <c r="H40" s="23" t="s">
        <v>40</v>
      </c>
      <c r="I40" s="25">
        <v>50.0</v>
      </c>
      <c r="J40" s="26">
        <v>1640.0</v>
      </c>
    </row>
    <row r="41">
      <c r="A41" s="23" t="s">
        <v>31</v>
      </c>
      <c r="B41" s="23" t="s">
        <v>32</v>
      </c>
      <c r="C41" s="23">
        <v>48097.0</v>
      </c>
      <c r="D41" s="24">
        <v>44022.0</v>
      </c>
      <c r="E41" s="23">
        <v>8060.0</v>
      </c>
      <c r="F41" s="23" t="s">
        <v>33</v>
      </c>
      <c r="G41" s="23">
        <v>110.0</v>
      </c>
      <c r="H41" s="23" t="s">
        <v>38</v>
      </c>
      <c r="I41" s="25">
        <v>70.0</v>
      </c>
      <c r="J41" s="26">
        <v>4930.0</v>
      </c>
    </row>
    <row r="42">
      <c r="A42" s="23" t="s">
        <v>26</v>
      </c>
      <c r="B42" s="23" t="s">
        <v>27</v>
      </c>
      <c r="C42" s="23">
        <v>25442.0</v>
      </c>
      <c r="D42" s="24">
        <v>44026.0</v>
      </c>
      <c r="E42" s="23">
        <v>8010.0</v>
      </c>
      <c r="F42" s="23" t="s">
        <v>36</v>
      </c>
      <c r="G42" s="23">
        <v>118.0</v>
      </c>
      <c r="H42" s="23" t="s">
        <v>45</v>
      </c>
      <c r="I42" s="25">
        <v>70.0</v>
      </c>
      <c r="J42" s="26">
        <v>1260.0</v>
      </c>
    </row>
    <row r="43">
      <c r="A43" s="23" t="s">
        <v>26</v>
      </c>
      <c r="B43" s="23" t="s">
        <v>27</v>
      </c>
      <c r="C43" s="23">
        <v>25442.0</v>
      </c>
      <c r="D43" s="24">
        <v>44026.0</v>
      </c>
      <c r="E43" s="23">
        <v>8010.0</v>
      </c>
      <c r="F43" s="23" t="s">
        <v>36</v>
      </c>
      <c r="G43" s="23">
        <v>117.0</v>
      </c>
      <c r="H43" s="23" t="s">
        <v>46</v>
      </c>
      <c r="I43" s="25">
        <v>80.0</v>
      </c>
      <c r="J43" s="26">
        <v>1440.0</v>
      </c>
    </row>
    <row r="44">
      <c r="A44" s="23" t="s">
        <v>35</v>
      </c>
      <c r="B44" s="23" t="s">
        <v>27</v>
      </c>
      <c r="C44" s="23">
        <v>65631.0</v>
      </c>
      <c r="D44" s="24">
        <v>44029.0</v>
      </c>
      <c r="E44" s="23">
        <v>8020.0</v>
      </c>
      <c r="F44" s="23" t="s">
        <v>28</v>
      </c>
      <c r="G44" s="23">
        <v>107.0</v>
      </c>
      <c r="H44" s="23" t="s">
        <v>41</v>
      </c>
      <c r="I44" s="25">
        <v>190.0</v>
      </c>
      <c r="J44" s="26">
        <v>950.0</v>
      </c>
    </row>
    <row r="45">
      <c r="A45" s="23" t="s">
        <v>26</v>
      </c>
      <c r="B45" s="23" t="s">
        <v>27</v>
      </c>
      <c r="C45" s="23">
        <v>28112.0</v>
      </c>
      <c r="D45" s="24">
        <v>44031.0</v>
      </c>
      <c r="E45" s="23">
        <v>8020.0</v>
      </c>
      <c r="F45" s="23" t="s">
        <v>28</v>
      </c>
      <c r="G45" s="23">
        <v>118.0</v>
      </c>
      <c r="H45" s="23" t="s">
        <v>45</v>
      </c>
      <c r="I45" s="25">
        <v>70.0</v>
      </c>
      <c r="J45" s="26">
        <v>1260.0</v>
      </c>
    </row>
    <row r="46">
      <c r="A46" s="23" t="s">
        <v>31</v>
      </c>
      <c r="B46" s="23" t="s">
        <v>32</v>
      </c>
      <c r="C46" s="23">
        <v>48099.0</v>
      </c>
      <c r="D46" s="24">
        <v>44032.0</v>
      </c>
      <c r="E46" s="23">
        <v>8050.0</v>
      </c>
      <c r="F46" s="23" t="s">
        <v>42</v>
      </c>
      <c r="G46" s="23">
        <v>109.0</v>
      </c>
      <c r="H46" s="23" t="s">
        <v>40</v>
      </c>
      <c r="I46" s="25">
        <v>60.0</v>
      </c>
      <c r="J46" s="26">
        <v>1970.0</v>
      </c>
    </row>
    <row r="47">
      <c r="A47" s="23" t="s">
        <v>31</v>
      </c>
      <c r="B47" s="23" t="s">
        <v>32</v>
      </c>
      <c r="C47" s="23">
        <v>45431.0</v>
      </c>
      <c r="D47" s="24">
        <v>44034.0</v>
      </c>
      <c r="E47" s="23">
        <v>8050.0</v>
      </c>
      <c r="F47" s="23" t="s">
        <v>42</v>
      </c>
      <c r="G47" s="23">
        <v>108.0</v>
      </c>
      <c r="H47" s="23" t="s">
        <v>29</v>
      </c>
      <c r="I47" s="25">
        <v>60.0</v>
      </c>
      <c r="J47" s="26">
        <v>1970.0</v>
      </c>
    </row>
    <row r="48">
      <c r="A48" s="23" t="s">
        <v>35</v>
      </c>
      <c r="B48" s="23" t="s">
        <v>27</v>
      </c>
      <c r="C48" s="23">
        <v>66016.0</v>
      </c>
      <c r="D48" s="24">
        <v>44035.0</v>
      </c>
      <c r="E48" s="23">
        <v>8020.0</v>
      </c>
      <c r="F48" s="23" t="s">
        <v>28</v>
      </c>
      <c r="G48" s="23">
        <v>104.0</v>
      </c>
      <c r="H48" s="23" t="s">
        <v>34</v>
      </c>
      <c r="I48" s="25">
        <v>130.0</v>
      </c>
      <c r="J48" s="26">
        <v>1560.0</v>
      </c>
    </row>
    <row r="49">
      <c r="A49" s="23" t="s">
        <v>35</v>
      </c>
      <c r="B49" s="23" t="s">
        <v>27</v>
      </c>
      <c r="C49" s="23">
        <v>66031.0</v>
      </c>
      <c r="D49" s="24">
        <v>44041.0</v>
      </c>
      <c r="E49" s="23">
        <v>8020.0</v>
      </c>
      <c r="F49" s="23" t="s">
        <v>28</v>
      </c>
      <c r="G49" s="23">
        <v>104.0</v>
      </c>
      <c r="H49" s="23" t="s">
        <v>34</v>
      </c>
      <c r="I49" s="25">
        <v>150.0</v>
      </c>
      <c r="J49" s="26">
        <v>1800.0</v>
      </c>
    </row>
    <row r="50">
      <c r="A50" s="23" t="s">
        <v>31</v>
      </c>
      <c r="B50" s="23" t="s">
        <v>32</v>
      </c>
      <c r="C50" s="23">
        <v>44032.0</v>
      </c>
      <c r="D50" s="24">
        <v>44041.0</v>
      </c>
      <c r="E50" s="23">
        <v>8060.0</v>
      </c>
      <c r="F50" s="23" t="s">
        <v>33</v>
      </c>
      <c r="G50" s="23">
        <v>108.0</v>
      </c>
      <c r="H50" s="23" t="s">
        <v>29</v>
      </c>
      <c r="I50" s="25">
        <v>60.0</v>
      </c>
      <c r="J50" s="26">
        <v>1970.0</v>
      </c>
    </row>
    <row r="51">
      <c r="A51" s="23" t="s">
        <v>26</v>
      </c>
      <c r="B51" s="23" t="s">
        <v>27</v>
      </c>
      <c r="C51" s="23">
        <v>25442.0</v>
      </c>
      <c r="D51" s="24">
        <v>44043.0</v>
      </c>
      <c r="E51" s="23">
        <v>8010.0</v>
      </c>
      <c r="F51" s="23" t="s">
        <v>36</v>
      </c>
      <c r="G51" s="23">
        <v>102.0</v>
      </c>
      <c r="H51" s="23" t="s">
        <v>48</v>
      </c>
      <c r="I51" s="25">
        <v>10.0</v>
      </c>
      <c r="J51" s="26">
        <v>120.0</v>
      </c>
    </row>
    <row r="52">
      <c r="A52" s="23" t="s">
        <v>26</v>
      </c>
      <c r="B52" s="23" t="s">
        <v>27</v>
      </c>
      <c r="C52" s="23">
        <v>28112.0</v>
      </c>
      <c r="D52" s="24">
        <v>44044.0</v>
      </c>
      <c r="E52" s="23">
        <v>8020.0</v>
      </c>
      <c r="F52" s="23" t="s">
        <v>28</v>
      </c>
      <c r="G52" s="23">
        <v>106.0</v>
      </c>
      <c r="H52" s="23" t="s">
        <v>50</v>
      </c>
      <c r="I52" s="25">
        <v>70.0</v>
      </c>
      <c r="J52" s="26">
        <v>350.0</v>
      </c>
    </row>
    <row r="53">
      <c r="A53" s="23" t="s">
        <v>31</v>
      </c>
      <c r="B53" s="23" t="s">
        <v>32</v>
      </c>
      <c r="C53" s="23">
        <v>45444.0</v>
      </c>
      <c r="D53" s="24">
        <v>44045.0</v>
      </c>
      <c r="E53" s="23">
        <v>8060.0</v>
      </c>
      <c r="F53" s="23" t="s">
        <v>33</v>
      </c>
      <c r="G53" s="23">
        <v>109.0</v>
      </c>
      <c r="H53" s="23" t="s">
        <v>40</v>
      </c>
      <c r="I53" s="25">
        <v>70.0</v>
      </c>
      <c r="J53" s="26">
        <v>2300.0</v>
      </c>
    </row>
    <row r="54">
      <c r="A54" s="23" t="s">
        <v>31</v>
      </c>
      <c r="B54" s="23" t="s">
        <v>32</v>
      </c>
      <c r="C54" s="23">
        <v>45431.0</v>
      </c>
      <c r="D54" s="24">
        <v>44045.0</v>
      </c>
      <c r="E54" s="23">
        <v>8050.0</v>
      </c>
      <c r="F54" s="23" t="s">
        <v>42</v>
      </c>
      <c r="G54" s="23">
        <v>111.0</v>
      </c>
      <c r="H54" s="23" t="s">
        <v>44</v>
      </c>
      <c r="I54" s="25">
        <v>60.0</v>
      </c>
      <c r="J54" s="26">
        <v>1410.0</v>
      </c>
    </row>
    <row r="55">
      <c r="A55" s="23" t="s">
        <v>35</v>
      </c>
      <c r="B55" s="23" t="s">
        <v>27</v>
      </c>
      <c r="C55" s="23">
        <v>65666.0</v>
      </c>
      <c r="D55" s="24">
        <v>44046.0</v>
      </c>
      <c r="E55" s="23">
        <v>8010.0</v>
      </c>
      <c r="F55" s="23" t="s">
        <v>36</v>
      </c>
      <c r="G55" s="23">
        <v>103.0</v>
      </c>
      <c r="H55" s="23" t="s">
        <v>37</v>
      </c>
      <c r="I55" s="25">
        <v>120.0</v>
      </c>
      <c r="J55" s="26">
        <v>1440.0</v>
      </c>
    </row>
    <row r="56">
      <c r="A56" s="23" t="s">
        <v>35</v>
      </c>
      <c r="B56" s="23" t="s">
        <v>27</v>
      </c>
      <c r="C56" s="23">
        <v>68099.0</v>
      </c>
      <c r="D56" s="24">
        <v>44046.0</v>
      </c>
      <c r="E56" s="23">
        <v>8020.0</v>
      </c>
      <c r="F56" s="23" t="s">
        <v>28</v>
      </c>
      <c r="G56" s="23">
        <v>107.0</v>
      </c>
      <c r="H56" s="23" t="s">
        <v>41</v>
      </c>
      <c r="I56" s="25">
        <v>170.0</v>
      </c>
      <c r="J56" s="26">
        <v>850.0</v>
      </c>
    </row>
    <row r="57">
      <c r="A57" s="23" t="s">
        <v>35</v>
      </c>
      <c r="B57" s="23" t="s">
        <v>27</v>
      </c>
      <c r="C57" s="23">
        <v>66032.0</v>
      </c>
      <c r="D57" s="24">
        <v>44051.0</v>
      </c>
      <c r="E57" s="23">
        <v>8010.0</v>
      </c>
      <c r="F57" s="23" t="s">
        <v>36</v>
      </c>
      <c r="G57" s="23">
        <v>103.0</v>
      </c>
      <c r="H57" s="23" t="s">
        <v>37</v>
      </c>
      <c r="I57" s="25">
        <v>170.0</v>
      </c>
      <c r="J57" s="26">
        <v>2040.0</v>
      </c>
    </row>
    <row r="58">
      <c r="A58" s="23" t="s">
        <v>35</v>
      </c>
      <c r="B58" s="23" t="s">
        <v>27</v>
      </c>
      <c r="C58" s="23">
        <v>68101.0</v>
      </c>
      <c r="D58" s="24">
        <v>44053.0</v>
      </c>
      <c r="E58" s="23">
        <v>8010.0</v>
      </c>
      <c r="F58" s="23" t="s">
        <v>36</v>
      </c>
      <c r="G58" s="23">
        <v>105.0</v>
      </c>
      <c r="H58" s="23" t="s">
        <v>39</v>
      </c>
      <c r="I58" s="25">
        <v>140.0</v>
      </c>
      <c r="J58" s="26">
        <v>1400.0</v>
      </c>
    </row>
    <row r="59">
      <c r="A59" s="23" t="s">
        <v>31</v>
      </c>
      <c r="B59" s="23" t="s">
        <v>32</v>
      </c>
      <c r="C59" s="23">
        <v>48099.0</v>
      </c>
      <c r="D59" s="24">
        <v>44053.0</v>
      </c>
      <c r="E59" s="23">
        <v>8050.0</v>
      </c>
      <c r="F59" s="23" t="s">
        <v>42</v>
      </c>
      <c r="G59" s="23">
        <v>110.0</v>
      </c>
      <c r="H59" s="23" t="s">
        <v>38</v>
      </c>
      <c r="I59" s="25">
        <v>60.0</v>
      </c>
      <c r="J59" s="26">
        <v>4230.0</v>
      </c>
    </row>
    <row r="60">
      <c r="A60" s="23" t="s">
        <v>31</v>
      </c>
      <c r="B60" s="23" t="s">
        <v>32</v>
      </c>
      <c r="C60" s="23">
        <v>48116.0</v>
      </c>
      <c r="D60" s="24">
        <v>44054.0</v>
      </c>
      <c r="E60" s="23">
        <v>8060.0</v>
      </c>
      <c r="F60" s="23" t="s">
        <v>33</v>
      </c>
      <c r="G60" s="23">
        <v>109.0</v>
      </c>
      <c r="H60" s="23" t="s">
        <v>40</v>
      </c>
      <c r="I60" s="25">
        <v>60.0</v>
      </c>
      <c r="J60" s="26">
        <v>1970.0</v>
      </c>
    </row>
    <row r="61">
      <c r="A61" s="23" t="s">
        <v>35</v>
      </c>
      <c r="B61" s="23" t="s">
        <v>27</v>
      </c>
      <c r="C61" s="23">
        <v>65666.0</v>
      </c>
      <c r="D61" s="24">
        <v>44055.0</v>
      </c>
      <c r="E61" s="23">
        <v>8020.0</v>
      </c>
      <c r="F61" s="23" t="s">
        <v>28</v>
      </c>
      <c r="G61" s="23">
        <v>103.0</v>
      </c>
      <c r="H61" s="23" t="s">
        <v>37</v>
      </c>
      <c r="I61" s="25">
        <v>200.0</v>
      </c>
      <c r="J61" s="26">
        <v>2400.0</v>
      </c>
    </row>
    <row r="62">
      <c r="A62" s="23" t="s">
        <v>31</v>
      </c>
      <c r="B62" s="23" t="s">
        <v>32</v>
      </c>
      <c r="C62" s="23">
        <v>48101.0</v>
      </c>
      <c r="D62" s="24">
        <v>44055.0</v>
      </c>
      <c r="E62" s="23">
        <v>8060.0</v>
      </c>
      <c r="F62" s="23" t="s">
        <v>33</v>
      </c>
      <c r="G62" s="23">
        <v>109.0</v>
      </c>
      <c r="H62" s="23" t="s">
        <v>40</v>
      </c>
      <c r="I62" s="25">
        <v>60.0</v>
      </c>
      <c r="J62" s="26">
        <v>1970.0</v>
      </c>
    </row>
    <row r="63">
      <c r="A63" s="23" t="s">
        <v>31</v>
      </c>
      <c r="B63" s="23" t="s">
        <v>32</v>
      </c>
      <c r="C63" s="23">
        <v>44015.0</v>
      </c>
      <c r="D63" s="24">
        <v>44056.0</v>
      </c>
      <c r="E63" s="23">
        <v>8060.0</v>
      </c>
      <c r="F63" s="23" t="s">
        <v>33</v>
      </c>
      <c r="G63" s="23">
        <v>108.0</v>
      </c>
      <c r="H63" s="23" t="s">
        <v>29</v>
      </c>
      <c r="I63" s="25">
        <v>60.0</v>
      </c>
      <c r="J63" s="26">
        <v>1970.0</v>
      </c>
    </row>
    <row r="64">
      <c r="A64" s="23" t="s">
        <v>31</v>
      </c>
      <c r="B64" s="23" t="s">
        <v>32</v>
      </c>
      <c r="C64" s="23">
        <v>44016.0</v>
      </c>
      <c r="D64" s="24">
        <v>44057.0</v>
      </c>
      <c r="E64" s="23">
        <v>8050.0</v>
      </c>
      <c r="F64" s="23" t="s">
        <v>42</v>
      </c>
      <c r="G64" s="23">
        <v>108.0</v>
      </c>
      <c r="H64" s="23" t="s">
        <v>29</v>
      </c>
      <c r="I64" s="25">
        <v>70.0</v>
      </c>
      <c r="J64" s="26">
        <v>2300.0</v>
      </c>
    </row>
    <row r="65">
      <c r="A65" s="23" t="s">
        <v>35</v>
      </c>
      <c r="B65" s="23" t="s">
        <v>27</v>
      </c>
      <c r="C65" s="23">
        <v>68116.0</v>
      </c>
      <c r="D65" s="24">
        <v>44060.0</v>
      </c>
      <c r="E65" s="23">
        <v>8010.0</v>
      </c>
      <c r="F65" s="23" t="s">
        <v>36</v>
      </c>
      <c r="G65" s="23">
        <v>105.0</v>
      </c>
      <c r="H65" s="23" t="s">
        <v>39</v>
      </c>
      <c r="I65" s="25">
        <v>190.0</v>
      </c>
      <c r="J65" s="26">
        <v>1900.0</v>
      </c>
    </row>
    <row r="66">
      <c r="A66" s="23" t="s">
        <v>35</v>
      </c>
      <c r="B66" s="23" t="s">
        <v>27</v>
      </c>
      <c r="C66" s="23">
        <v>68112.0</v>
      </c>
      <c r="D66" s="24">
        <v>44062.0</v>
      </c>
      <c r="E66" s="23">
        <v>8010.0</v>
      </c>
      <c r="F66" s="23" t="s">
        <v>36</v>
      </c>
      <c r="G66" s="23">
        <v>104.0</v>
      </c>
      <c r="H66" s="23" t="s">
        <v>34</v>
      </c>
      <c r="I66" s="25">
        <v>180.0</v>
      </c>
      <c r="J66" s="26">
        <v>2160.0</v>
      </c>
    </row>
    <row r="67">
      <c r="A67" s="23" t="s">
        <v>35</v>
      </c>
      <c r="B67" s="23" t="s">
        <v>27</v>
      </c>
      <c r="C67" s="23">
        <v>68099.0</v>
      </c>
      <c r="D67" s="24">
        <v>44062.0</v>
      </c>
      <c r="E67" s="23">
        <v>8020.0</v>
      </c>
      <c r="F67" s="23" t="s">
        <v>28</v>
      </c>
      <c r="G67" s="23">
        <v>104.0</v>
      </c>
      <c r="H67" s="23" t="s">
        <v>34</v>
      </c>
      <c r="I67" s="25">
        <v>120.0</v>
      </c>
      <c r="J67" s="26">
        <v>1440.0</v>
      </c>
    </row>
    <row r="68">
      <c r="A68" s="23" t="s">
        <v>31</v>
      </c>
      <c r="B68" s="23" t="s">
        <v>32</v>
      </c>
      <c r="C68" s="23">
        <v>44032.0</v>
      </c>
      <c r="D68" s="24">
        <v>44063.0</v>
      </c>
      <c r="E68" s="23">
        <v>8060.0</v>
      </c>
      <c r="F68" s="23" t="s">
        <v>33</v>
      </c>
      <c r="G68" s="23">
        <v>109.0</v>
      </c>
      <c r="H68" s="23" t="s">
        <v>40</v>
      </c>
      <c r="I68" s="25">
        <v>70.0</v>
      </c>
      <c r="J68" s="26">
        <v>2300.0</v>
      </c>
    </row>
    <row r="69">
      <c r="A69" s="23" t="s">
        <v>35</v>
      </c>
      <c r="B69" s="23" t="s">
        <v>27</v>
      </c>
      <c r="C69" s="23">
        <v>65662.0</v>
      </c>
      <c r="D69" s="24">
        <v>44065.0</v>
      </c>
      <c r="E69" s="23">
        <v>8020.0</v>
      </c>
      <c r="F69" s="23" t="s">
        <v>28</v>
      </c>
      <c r="G69" s="23">
        <v>104.0</v>
      </c>
      <c r="H69" s="23" t="s">
        <v>34</v>
      </c>
      <c r="I69" s="25">
        <v>110.0</v>
      </c>
      <c r="J69" s="26">
        <v>1320.0</v>
      </c>
    </row>
    <row r="70">
      <c r="A70" s="23" t="s">
        <v>35</v>
      </c>
      <c r="B70" s="23" t="s">
        <v>27</v>
      </c>
      <c r="C70" s="23">
        <v>65629.0</v>
      </c>
      <c r="D70" s="24">
        <v>44066.0</v>
      </c>
      <c r="E70" s="23">
        <v>8010.0</v>
      </c>
      <c r="F70" s="23" t="s">
        <v>36</v>
      </c>
      <c r="G70" s="23">
        <v>105.0</v>
      </c>
      <c r="H70" s="23" t="s">
        <v>39</v>
      </c>
      <c r="I70" s="25">
        <v>140.0</v>
      </c>
      <c r="J70" s="26">
        <v>1400.0</v>
      </c>
    </row>
    <row r="71">
      <c r="A71" s="23" t="s">
        <v>35</v>
      </c>
      <c r="B71" s="23" t="s">
        <v>27</v>
      </c>
      <c r="C71" s="23">
        <v>65666.0</v>
      </c>
      <c r="D71" s="24">
        <v>44067.0</v>
      </c>
      <c r="E71" s="23">
        <v>8010.0</v>
      </c>
      <c r="F71" s="23" t="s">
        <v>36</v>
      </c>
      <c r="G71" s="23">
        <v>104.0</v>
      </c>
      <c r="H71" s="23" t="s">
        <v>34</v>
      </c>
      <c r="I71" s="25">
        <v>140.0</v>
      </c>
      <c r="J71" s="26">
        <v>1680.0</v>
      </c>
    </row>
    <row r="72">
      <c r="A72" s="23" t="s">
        <v>31</v>
      </c>
      <c r="B72" s="23" t="s">
        <v>32</v>
      </c>
      <c r="C72" s="23">
        <v>44031.0</v>
      </c>
      <c r="D72" s="24">
        <v>44070.0</v>
      </c>
      <c r="E72" s="23">
        <v>8050.0</v>
      </c>
      <c r="F72" s="23" t="s">
        <v>42</v>
      </c>
      <c r="G72" s="23">
        <v>108.0</v>
      </c>
      <c r="H72" s="23" t="s">
        <v>29</v>
      </c>
      <c r="I72" s="25">
        <v>60.0</v>
      </c>
      <c r="J72" s="26">
        <v>1970.0</v>
      </c>
    </row>
    <row r="73">
      <c r="A73" s="23" t="s">
        <v>31</v>
      </c>
      <c r="B73" s="23" t="s">
        <v>32</v>
      </c>
      <c r="C73" s="23">
        <v>48097.0</v>
      </c>
      <c r="D73" s="24">
        <v>44071.0</v>
      </c>
      <c r="E73" s="23">
        <v>8060.0</v>
      </c>
      <c r="F73" s="23" t="s">
        <v>33</v>
      </c>
      <c r="G73" s="23">
        <v>109.0</v>
      </c>
      <c r="H73" s="23" t="s">
        <v>40</v>
      </c>
      <c r="I73" s="25">
        <v>60.0</v>
      </c>
      <c r="J73" s="26">
        <v>1970.0</v>
      </c>
    </row>
    <row r="74">
      <c r="A74" s="23" t="s">
        <v>31</v>
      </c>
      <c r="B74" s="23" t="s">
        <v>32</v>
      </c>
      <c r="C74" s="23">
        <v>45429.0</v>
      </c>
      <c r="D74" s="24">
        <v>44071.0</v>
      </c>
      <c r="E74" s="23">
        <v>8060.0</v>
      </c>
      <c r="F74" s="23" t="s">
        <v>33</v>
      </c>
      <c r="G74" s="23">
        <v>108.0</v>
      </c>
      <c r="H74" s="23" t="s">
        <v>29</v>
      </c>
      <c r="I74" s="25">
        <v>80.0</v>
      </c>
      <c r="J74" s="26">
        <v>2630.0</v>
      </c>
    </row>
    <row r="75">
      <c r="A75" s="23" t="s">
        <v>26</v>
      </c>
      <c r="B75" s="23" t="s">
        <v>27</v>
      </c>
      <c r="C75" s="23">
        <v>28112.0</v>
      </c>
      <c r="D75" s="24">
        <v>44074.0</v>
      </c>
      <c r="E75" s="23">
        <v>8020.0</v>
      </c>
      <c r="F75" s="23" t="s">
        <v>28</v>
      </c>
      <c r="G75" s="23">
        <v>114.0</v>
      </c>
      <c r="H75" s="23" t="s">
        <v>51</v>
      </c>
      <c r="I75" s="25">
        <v>50.0</v>
      </c>
      <c r="J75" s="26">
        <v>1250.0</v>
      </c>
    </row>
    <row r="76">
      <c r="A76" s="23" t="s">
        <v>35</v>
      </c>
      <c r="B76" s="23" t="s">
        <v>27</v>
      </c>
      <c r="C76" s="23">
        <v>68112.0</v>
      </c>
      <c r="D76" s="24">
        <v>44076.0</v>
      </c>
      <c r="E76" s="23">
        <v>8010.0</v>
      </c>
      <c r="F76" s="23" t="s">
        <v>36</v>
      </c>
      <c r="G76" s="23">
        <v>105.0</v>
      </c>
      <c r="H76" s="23" t="s">
        <v>39</v>
      </c>
      <c r="I76" s="25">
        <v>120.0</v>
      </c>
      <c r="J76" s="26">
        <v>1200.0</v>
      </c>
    </row>
    <row r="77">
      <c r="A77" s="23" t="s">
        <v>35</v>
      </c>
      <c r="B77" s="23" t="s">
        <v>27</v>
      </c>
      <c r="C77" s="23">
        <v>65627.0</v>
      </c>
      <c r="D77" s="24">
        <v>44076.0</v>
      </c>
      <c r="E77" s="23">
        <v>8020.0</v>
      </c>
      <c r="F77" s="23" t="s">
        <v>28</v>
      </c>
      <c r="G77" s="23">
        <v>104.0</v>
      </c>
      <c r="H77" s="23" t="s">
        <v>34</v>
      </c>
      <c r="I77" s="25">
        <v>160.0</v>
      </c>
      <c r="J77" s="26">
        <v>1920.0</v>
      </c>
    </row>
    <row r="78">
      <c r="A78" s="23" t="s">
        <v>35</v>
      </c>
      <c r="B78" s="23" t="s">
        <v>27</v>
      </c>
      <c r="C78" s="23">
        <v>68099.0</v>
      </c>
      <c r="D78" s="24">
        <v>44078.0</v>
      </c>
      <c r="E78" s="23">
        <v>8020.0</v>
      </c>
      <c r="F78" s="23" t="s">
        <v>28</v>
      </c>
      <c r="G78" s="23">
        <v>105.0</v>
      </c>
      <c r="H78" s="23" t="s">
        <v>39</v>
      </c>
      <c r="I78" s="25">
        <v>140.0</v>
      </c>
      <c r="J78" s="26">
        <v>1400.0</v>
      </c>
    </row>
    <row r="79">
      <c r="A79" s="23" t="s">
        <v>26</v>
      </c>
      <c r="B79" s="23" t="s">
        <v>27</v>
      </c>
      <c r="C79" s="23">
        <v>28112.0</v>
      </c>
      <c r="D79" s="24">
        <v>44078.0</v>
      </c>
      <c r="E79" s="23">
        <v>8020.0</v>
      </c>
      <c r="F79" s="23" t="s">
        <v>28</v>
      </c>
      <c r="G79" s="23">
        <v>102.0</v>
      </c>
      <c r="H79" s="23" t="s">
        <v>48</v>
      </c>
      <c r="I79" s="25">
        <v>70.0</v>
      </c>
      <c r="J79" s="26">
        <v>840.0</v>
      </c>
    </row>
    <row r="80">
      <c r="A80" s="23" t="s">
        <v>26</v>
      </c>
      <c r="B80" s="23" t="s">
        <v>27</v>
      </c>
      <c r="C80" s="23">
        <v>25442.0</v>
      </c>
      <c r="D80" s="24">
        <v>44078.0</v>
      </c>
      <c r="E80" s="23">
        <v>8010.0</v>
      </c>
      <c r="F80" s="23" t="s">
        <v>36</v>
      </c>
      <c r="G80" s="23">
        <v>116.0</v>
      </c>
      <c r="H80" s="23" t="s">
        <v>47</v>
      </c>
      <c r="I80" s="25">
        <v>60.0</v>
      </c>
      <c r="J80" s="26">
        <v>360.0</v>
      </c>
    </row>
    <row r="81">
      <c r="A81" s="23" t="s">
        <v>26</v>
      </c>
      <c r="B81" s="23" t="s">
        <v>27</v>
      </c>
      <c r="C81" s="23">
        <v>24030.0</v>
      </c>
      <c r="D81" s="24">
        <v>44082.0</v>
      </c>
      <c r="E81" s="23">
        <v>8020.0</v>
      </c>
      <c r="F81" s="23" t="s">
        <v>28</v>
      </c>
      <c r="G81" s="23">
        <v>102.0</v>
      </c>
      <c r="H81" s="23" t="s">
        <v>48</v>
      </c>
      <c r="I81" s="25">
        <v>30.0</v>
      </c>
      <c r="J81" s="26">
        <v>360.0</v>
      </c>
    </row>
    <row r="82">
      <c r="A82" s="23" t="s">
        <v>26</v>
      </c>
      <c r="B82" s="23" t="s">
        <v>27</v>
      </c>
      <c r="C82" s="23">
        <v>24031.0</v>
      </c>
      <c r="D82" s="24">
        <v>44085.0</v>
      </c>
      <c r="E82" s="23">
        <v>8020.0</v>
      </c>
      <c r="F82" s="23" t="s">
        <v>28</v>
      </c>
      <c r="G82" s="23">
        <v>101.0</v>
      </c>
      <c r="H82" s="23" t="s">
        <v>43</v>
      </c>
      <c r="I82" s="25">
        <v>100.0</v>
      </c>
      <c r="J82" s="26">
        <v>1200.0</v>
      </c>
    </row>
    <row r="83">
      <c r="A83" s="23" t="s">
        <v>26</v>
      </c>
      <c r="B83" s="23" t="s">
        <v>27</v>
      </c>
      <c r="C83" s="23">
        <v>25442.0</v>
      </c>
      <c r="D83" s="24">
        <v>44085.0</v>
      </c>
      <c r="E83" s="23">
        <v>8010.0</v>
      </c>
      <c r="F83" s="23" t="s">
        <v>36</v>
      </c>
      <c r="G83" s="23">
        <v>118.0</v>
      </c>
      <c r="H83" s="23" t="s">
        <v>45</v>
      </c>
      <c r="I83" s="25">
        <v>70.0</v>
      </c>
      <c r="J83" s="26">
        <v>1260.0</v>
      </c>
    </row>
    <row r="84">
      <c r="A84" s="23" t="s">
        <v>35</v>
      </c>
      <c r="B84" s="23" t="s">
        <v>27</v>
      </c>
      <c r="C84" s="23">
        <v>65662.0</v>
      </c>
      <c r="D84" s="24">
        <v>44088.0</v>
      </c>
      <c r="E84" s="23">
        <v>8020.0</v>
      </c>
      <c r="F84" s="23" t="s">
        <v>28</v>
      </c>
      <c r="G84" s="23">
        <v>103.0</v>
      </c>
      <c r="H84" s="23" t="s">
        <v>37</v>
      </c>
      <c r="I84" s="25">
        <v>120.0</v>
      </c>
      <c r="J84" s="26">
        <v>1440.0</v>
      </c>
    </row>
    <row r="85">
      <c r="A85" s="23" t="s">
        <v>26</v>
      </c>
      <c r="B85" s="23" t="s">
        <v>27</v>
      </c>
      <c r="C85" s="23">
        <v>24030.0</v>
      </c>
      <c r="D85" s="24">
        <v>44088.0</v>
      </c>
      <c r="E85" s="23">
        <v>8020.0</v>
      </c>
      <c r="F85" s="23" t="s">
        <v>28</v>
      </c>
      <c r="G85" s="23">
        <v>101.0</v>
      </c>
      <c r="H85" s="23" t="s">
        <v>43</v>
      </c>
      <c r="I85" s="25">
        <v>130.0</v>
      </c>
      <c r="J85" s="26">
        <v>1560.0</v>
      </c>
    </row>
    <row r="86">
      <c r="A86" s="23" t="s">
        <v>31</v>
      </c>
      <c r="B86" s="23" t="s">
        <v>32</v>
      </c>
      <c r="C86" s="23">
        <v>44017.0</v>
      </c>
      <c r="D86" s="24">
        <v>44088.0</v>
      </c>
      <c r="E86" s="23">
        <v>8060.0</v>
      </c>
      <c r="F86" s="23" t="s">
        <v>33</v>
      </c>
      <c r="G86" s="23">
        <v>109.0</v>
      </c>
      <c r="H86" s="23" t="s">
        <v>40</v>
      </c>
      <c r="I86" s="25">
        <v>70.0</v>
      </c>
      <c r="J86" s="26">
        <v>2300.0</v>
      </c>
    </row>
    <row r="87">
      <c r="A87" s="23" t="s">
        <v>26</v>
      </c>
      <c r="B87" s="23" t="s">
        <v>27</v>
      </c>
      <c r="C87" s="23">
        <v>25442.0</v>
      </c>
      <c r="D87" s="24">
        <v>44090.0</v>
      </c>
      <c r="E87" s="23">
        <v>8010.0</v>
      </c>
      <c r="F87" s="23" t="s">
        <v>36</v>
      </c>
      <c r="G87" s="23">
        <v>101.0</v>
      </c>
      <c r="H87" s="23" t="s">
        <v>43</v>
      </c>
      <c r="I87" s="25">
        <v>40.0</v>
      </c>
      <c r="J87" s="26">
        <v>480.0</v>
      </c>
    </row>
    <row r="88">
      <c r="A88" s="23" t="s">
        <v>35</v>
      </c>
      <c r="B88" s="23" t="s">
        <v>27</v>
      </c>
      <c r="C88" s="23">
        <v>68116.0</v>
      </c>
      <c r="D88" s="24">
        <v>44091.0</v>
      </c>
      <c r="E88" s="23">
        <v>8020.0</v>
      </c>
      <c r="F88" s="23" t="s">
        <v>28</v>
      </c>
      <c r="G88" s="23">
        <v>104.0</v>
      </c>
      <c r="H88" s="23" t="s">
        <v>34</v>
      </c>
      <c r="I88" s="25">
        <v>150.0</v>
      </c>
      <c r="J88" s="26">
        <v>1800.0</v>
      </c>
    </row>
    <row r="89">
      <c r="A89" s="23" t="s">
        <v>35</v>
      </c>
      <c r="B89" s="23" t="s">
        <v>27</v>
      </c>
      <c r="C89" s="23">
        <v>68097.0</v>
      </c>
      <c r="D89" s="24">
        <v>44092.0</v>
      </c>
      <c r="E89" s="23">
        <v>8010.0</v>
      </c>
      <c r="F89" s="23" t="s">
        <v>36</v>
      </c>
      <c r="G89" s="23">
        <v>104.0</v>
      </c>
      <c r="H89" s="23" t="s">
        <v>34</v>
      </c>
      <c r="I89" s="25">
        <v>140.0</v>
      </c>
      <c r="J89" s="26">
        <v>1680.0</v>
      </c>
    </row>
    <row r="90">
      <c r="A90" s="23" t="s">
        <v>31</v>
      </c>
      <c r="B90" s="23" t="s">
        <v>32</v>
      </c>
      <c r="C90" s="23">
        <v>48114.0</v>
      </c>
      <c r="D90" s="24">
        <v>44094.0</v>
      </c>
      <c r="E90" s="23">
        <v>8050.0</v>
      </c>
      <c r="F90" s="23" t="s">
        <v>42</v>
      </c>
      <c r="G90" s="23">
        <v>111.0</v>
      </c>
      <c r="H90" s="23" t="s">
        <v>44</v>
      </c>
      <c r="I90" s="25">
        <v>80.0</v>
      </c>
      <c r="J90" s="26">
        <v>1880.0</v>
      </c>
    </row>
    <row r="91">
      <c r="A91" s="23" t="s">
        <v>31</v>
      </c>
      <c r="B91" s="23" t="s">
        <v>32</v>
      </c>
      <c r="C91" s="23">
        <v>44016.0</v>
      </c>
      <c r="D91" s="24">
        <v>44096.0</v>
      </c>
      <c r="E91" s="23">
        <v>8050.0</v>
      </c>
      <c r="F91" s="23" t="s">
        <v>42</v>
      </c>
      <c r="G91" s="23">
        <v>109.0</v>
      </c>
      <c r="H91" s="23" t="s">
        <v>40</v>
      </c>
      <c r="I91" s="25">
        <v>60.0</v>
      </c>
      <c r="J91" s="26">
        <v>1970.0</v>
      </c>
    </row>
    <row r="92">
      <c r="A92" s="23" t="s">
        <v>31</v>
      </c>
      <c r="B92" s="23" t="s">
        <v>32</v>
      </c>
      <c r="C92" s="23">
        <v>45427.0</v>
      </c>
      <c r="D92" s="24">
        <v>44100.0</v>
      </c>
      <c r="E92" s="23">
        <v>8050.0</v>
      </c>
      <c r="F92" s="23" t="s">
        <v>42</v>
      </c>
      <c r="G92" s="23">
        <v>108.0</v>
      </c>
      <c r="H92" s="23" t="s">
        <v>29</v>
      </c>
      <c r="I92" s="25">
        <v>70.0</v>
      </c>
      <c r="J92" s="26">
        <v>2300.0</v>
      </c>
    </row>
    <row r="93">
      <c r="A93" s="23" t="s">
        <v>31</v>
      </c>
      <c r="B93" s="23" t="s">
        <v>32</v>
      </c>
      <c r="C93" s="23">
        <v>44030.0</v>
      </c>
      <c r="D93" s="24">
        <v>44101.0</v>
      </c>
      <c r="E93" s="23">
        <v>8060.0</v>
      </c>
      <c r="F93" s="23" t="s">
        <v>33</v>
      </c>
      <c r="G93" s="23">
        <v>109.0</v>
      </c>
      <c r="H93" s="23" t="s">
        <v>40</v>
      </c>
      <c r="I93" s="25">
        <v>60.0</v>
      </c>
      <c r="J93" s="26">
        <v>1970.0</v>
      </c>
    </row>
    <row r="94">
      <c r="A94" s="23" t="s">
        <v>26</v>
      </c>
      <c r="B94" s="23" t="s">
        <v>27</v>
      </c>
      <c r="C94" s="23">
        <v>28112.0</v>
      </c>
      <c r="D94" s="24">
        <v>44102.0</v>
      </c>
      <c r="E94" s="23">
        <v>8020.0</v>
      </c>
      <c r="F94" s="23" t="s">
        <v>28</v>
      </c>
      <c r="G94" s="23">
        <v>117.0</v>
      </c>
      <c r="H94" s="23" t="s">
        <v>46</v>
      </c>
      <c r="I94" s="25">
        <v>80.0</v>
      </c>
      <c r="J94" s="26">
        <v>1440.0</v>
      </c>
    </row>
    <row r="95">
      <c r="A95" s="23" t="s">
        <v>31</v>
      </c>
      <c r="B95" s="23" t="s">
        <v>32</v>
      </c>
      <c r="C95" s="23">
        <v>45442.0</v>
      </c>
      <c r="D95" s="24">
        <v>44102.0</v>
      </c>
      <c r="E95" s="23">
        <v>8050.0</v>
      </c>
      <c r="F95" s="23" t="s">
        <v>42</v>
      </c>
      <c r="G95" s="23">
        <v>108.0</v>
      </c>
      <c r="H95" s="23" t="s">
        <v>29</v>
      </c>
      <c r="I95" s="25">
        <v>50.0</v>
      </c>
      <c r="J95" s="26">
        <v>1640.0</v>
      </c>
    </row>
    <row r="96">
      <c r="A96" s="23" t="s">
        <v>35</v>
      </c>
      <c r="B96" s="23" t="s">
        <v>27</v>
      </c>
      <c r="C96" s="23">
        <v>66016.0</v>
      </c>
      <c r="D96" s="24">
        <v>44105.0</v>
      </c>
      <c r="E96" s="23">
        <v>8020.0</v>
      </c>
      <c r="F96" s="23" t="s">
        <v>28</v>
      </c>
      <c r="G96" s="23">
        <v>105.0</v>
      </c>
      <c r="H96" s="23" t="s">
        <v>39</v>
      </c>
      <c r="I96" s="25">
        <v>120.0</v>
      </c>
      <c r="J96" s="26">
        <v>1200.0</v>
      </c>
    </row>
    <row r="97">
      <c r="A97" s="23" t="s">
        <v>31</v>
      </c>
      <c r="B97" s="23" t="s">
        <v>32</v>
      </c>
      <c r="C97" s="23">
        <v>48099.0</v>
      </c>
      <c r="D97" s="24">
        <v>44105.0</v>
      </c>
      <c r="E97" s="23">
        <v>8050.0</v>
      </c>
      <c r="F97" s="23" t="s">
        <v>42</v>
      </c>
      <c r="G97" s="23">
        <v>111.0</v>
      </c>
      <c r="H97" s="23" t="s">
        <v>44</v>
      </c>
      <c r="I97" s="25">
        <v>60.0</v>
      </c>
      <c r="J97" s="26">
        <v>1410.0</v>
      </c>
    </row>
    <row r="98">
      <c r="A98" s="23" t="s">
        <v>35</v>
      </c>
      <c r="B98" s="23" t="s">
        <v>27</v>
      </c>
      <c r="C98" s="23">
        <v>68116.0</v>
      </c>
      <c r="D98" s="24">
        <v>44106.0</v>
      </c>
      <c r="E98" s="23">
        <v>8010.0</v>
      </c>
      <c r="F98" s="23" t="s">
        <v>36</v>
      </c>
      <c r="G98" s="23">
        <v>104.0</v>
      </c>
      <c r="H98" s="23" t="s">
        <v>34</v>
      </c>
      <c r="I98" s="25">
        <v>160.0</v>
      </c>
      <c r="J98" s="26">
        <v>1920.0</v>
      </c>
    </row>
    <row r="99">
      <c r="A99" s="23" t="s">
        <v>35</v>
      </c>
      <c r="B99" s="23" t="s">
        <v>27</v>
      </c>
      <c r="C99" s="23">
        <v>66015.0</v>
      </c>
      <c r="D99" s="24">
        <v>44107.0</v>
      </c>
      <c r="E99" s="23">
        <v>8010.0</v>
      </c>
      <c r="F99" s="23" t="s">
        <v>36</v>
      </c>
      <c r="G99" s="23">
        <v>103.0</v>
      </c>
      <c r="H99" s="23" t="s">
        <v>37</v>
      </c>
      <c r="I99" s="25">
        <v>140.0</v>
      </c>
      <c r="J99" s="26">
        <v>1680.0</v>
      </c>
    </row>
    <row r="100">
      <c r="A100" s="23" t="s">
        <v>35</v>
      </c>
      <c r="B100" s="23" t="s">
        <v>27</v>
      </c>
      <c r="C100" s="23">
        <v>68116.0</v>
      </c>
      <c r="D100" s="24">
        <v>44109.0</v>
      </c>
      <c r="E100" s="23">
        <v>8020.0</v>
      </c>
      <c r="F100" s="23" t="s">
        <v>28</v>
      </c>
      <c r="G100" s="23">
        <v>107.0</v>
      </c>
      <c r="H100" s="23" t="s">
        <v>41</v>
      </c>
      <c r="I100" s="25">
        <v>160.0</v>
      </c>
      <c r="J100" s="26">
        <v>800.0</v>
      </c>
    </row>
    <row r="101">
      <c r="A101" s="23" t="s">
        <v>35</v>
      </c>
      <c r="B101" s="23" t="s">
        <v>27</v>
      </c>
      <c r="C101" s="23">
        <v>68101.0</v>
      </c>
      <c r="D101" s="24">
        <v>44109.0</v>
      </c>
      <c r="E101" s="23">
        <v>8010.0</v>
      </c>
      <c r="F101" s="23" t="s">
        <v>36</v>
      </c>
      <c r="G101" s="23">
        <v>104.0</v>
      </c>
      <c r="H101" s="23" t="s">
        <v>34</v>
      </c>
      <c r="I101" s="25">
        <v>190.0</v>
      </c>
      <c r="J101" s="26">
        <v>2280.0</v>
      </c>
    </row>
    <row r="102">
      <c r="A102" s="23" t="s">
        <v>31</v>
      </c>
      <c r="B102" s="23" t="s">
        <v>32</v>
      </c>
      <c r="C102" s="23">
        <v>44030.0</v>
      </c>
      <c r="D102" s="24">
        <v>44109.0</v>
      </c>
      <c r="E102" s="23">
        <v>8060.0</v>
      </c>
      <c r="F102" s="23" t="s">
        <v>33</v>
      </c>
      <c r="G102" s="23">
        <v>108.0</v>
      </c>
      <c r="H102" s="23" t="s">
        <v>29</v>
      </c>
      <c r="I102" s="25">
        <v>60.0</v>
      </c>
      <c r="J102" s="26">
        <v>1970.0</v>
      </c>
    </row>
    <row r="103">
      <c r="A103" s="23" t="s">
        <v>35</v>
      </c>
      <c r="B103" s="23" t="s">
        <v>27</v>
      </c>
      <c r="C103" s="23">
        <v>65627.0</v>
      </c>
      <c r="D103" s="24">
        <v>44111.0</v>
      </c>
      <c r="E103" s="23">
        <v>8020.0</v>
      </c>
      <c r="F103" s="23" t="s">
        <v>28</v>
      </c>
      <c r="G103" s="23">
        <v>103.0</v>
      </c>
      <c r="H103" s="23" t="s">
        <v>37</v>
      </c>
      <c r="I103" s="25">
        <v>140.0</v>
      </c>
      <c r="J103" s="26">
        <v>1680.0</v>
      </c>
    </row>
    <row r="104">
      <c r="A104" s="23" t="s">
        <v>31</v>
      </c>
      <c r="B104" s="23" t="s">
        <v>32</v>
      </c>
      <c r="C104" s="23">
        <v>45446.0</v>
      </c>
      <c r="D104" s="24">
        <v>44111.0</v>
      </c>
      <c r="E104" s="23">
        <v>8050.0</v>
      </c>
      <c r="F104" s="23" t="s">
        <v>42</v>
      </c>
      <c r="G104" s="23">
        <v>111.0</v>
      </c>
      <c r="H104" s="23" t="s">
        <v>44</v>
      </c>
      <c r="I104" s="25">
        <v>80.0</v>
      </c>
      <c r="J104" s="26">
        <v>1880.0</v>
      </c>
    </row>
    <row r="105">
      <c r="A105" s="23" t="s">
        <v>35</v>
      </c>
      <c r="B105" s="23" t="s">
        <v>27</v>
      </c>
      <c r="C105" s="23">
        <v>65629.0</v>
      </c>
      <c r="D105" s="24">
        <v>44113.0</v>
      </c>
      <c r="E105" s="23">
        <v>8010.0</v>
      </c>
      <c r="F105" s="23" t="s">
        <v>36</v>
      </c>
      <c r="G105" s="23">
        <v>103.0</v>
      </c>
      <c r="H105" s="23" t="s">
        <v>37</v>
      </c>
      <c r="I105" s="25">
        <v>190.0</v>
      </c>
      <c r="J105" s="26">
        <v>2280.0</v>
      </c>
    </row>
    <row r="106">
      <c r="A106" s="23" t="s">
        <v>31</v>
      </c>
      <c r="B106" s="23" t="s">
        <v>32</v>
      </c>
      <c r="C106" s="23">
        <v>48114.0</v>
      </c>
      <c r="D106" s="24">
        <v>44113.0</v>
      </c>
      <c r="E106" s="23">
        <v>8050.0</v>
      </c>
      <c r="F106" s="23" t="s">
        <v>42</v>
      </c>
      <c r="G106" s="23">
        <v>110.0</v>
      </c>
      <c r="H106" s="23" t="s">
        <v>38</v>
      </c>
      <c r="I106" s="25">
        <v>60.0</v>
      </c>
      <c r="J106" s="26">
        <v>4230.0</v>
      </c>
    </row>
    <row r="107">
      <c r="A107" s="23" t="s">
        <v>26</v>
      </c>
      <c r="B107" s="23" t="s">
        <v>27</v>
      </c>
      <c r="C107" s="23">
        <v>24030.0</v>
      </c>
      <c r="D107" s="24">
        <v>44115.0</v>
      </c>
      <c r="E107" s="23">
        <v>8020.0</v>
      </c>
      <c r="F107" s="23" t="s">
        <v>28</v>
      </c>
      <c r="G107" s="23">
        <v>108.0</v>
      </c>
      <c r="H107" s="23" t="s">
        <v>29</v>
      </c>
      <c r="I107" s="25">
        <v>80.0</v>
      </c>
      <c r="J107" s="26">
        <v>2240.0</v>
      </c>
    </row>
    <row r="108">
      <c r="A108" s="23" t="s">
        <v>31</v>
      </c>
      <c r="B108" s="23" t="s">
        <v>32</v>
      </c>
      <c r="C108" s="23">
        <v>48114.0</v>
      </c>
      <c r="D108" s="24">
        <v>44115.0</v>
      </c>
      <c r="E108" s="23">
        <v>8050.0</v>
      </c>
      <c r="F108" s="23" t="s">
        <v>42</v>
      </c>
      <c r="G108" s="23">
        <v>109.0</v>
      </c>
      <c r="H108" s="23" t="s">
        <v>40</v>
      </c>
      <c r="I108" s="25">
        <v>60.0</v>
      </c>
      <c r="J108" s="26">
        <v>1970.0</v>
      </c>
    </row>
    <row r="109">
      <c r="A109" s="23" t="s">
        <v>26</v>
      </c>
      <c r="B109" s="23" t="s">
        <v>27</v>
      </c>
      <c r="C109" s="23">
        <v>25442.0</v>
      </c>
      <c r="D109" s="24">
        <v>44078.0</v>
      </c>
      <c r="E109" s="23">
        <v>8010.0</v>
      </c>
      <c r="F109" s="23" t="s">
        <v>36</v>
      </c>
      <c r="G109" s="23">
        <v>116.0</v>
      </c>
      <c r="H109" s="20" t="s">
        <v>47</v>
      </c>
      <c r="I109" s="25">
        <v>60.0</v>
      </c>
      <c r="J109" s="26">
        <v>360.0</v>
      </c>
    </row>
    <row r="110">
      <c r="D110" s="24"/>
      <c r="I110" s="25"/>
      <c r="J110" s="26"/>
    </row>
    <row r="111">
      <c r="D111" s="24"/>
      <c r="I111" s="25"/>
      <c r="J111" s="26"/>
    </row>
  </sheetData>
  <customSheetViews>
    <customSheetView guid="{195516AF-4660-44C2-97CA-E6B6ED50AA1D}" filter="1" showAutoFilter="1">
      <autoFilter ref="$A$3:$J$200">
        <filterColumn colId="3">
          <customFilters>
            <customFilter operator="greaterThanOrEqual" val="8/1/2020"/>
          </customFilters>
        </filterColumn>
        <filterColumn colId="1">
          <filters>
            <filter val="America"/>
          </filters>
        </filterColumn>
      </autoFilter>
    </customSheetView>
  </customSheetView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21.38"/>
    <col customWidth="1" min="6" max="6" width="18.38"/>
    <col customWidth="1" min="7" max="7" width="6.75"/>
    <col customWidth="1" min="8" max="9" width="6.63"/>
    <col customWidth="1" min="10" max="10" width="23.88"/>
  </cols>
  <sheetData>
    <row r="1">
      <c r="A1" s="18" t="s">
        <v>53</v>
      </c>
      <c r="B1" s="19"/>
      <c r="C1" s="19"/>
      <c r="D1" s="19"/>
      <c r="E1" s="19"/>
      <c r="F1" s="19"/>
    </row>
    <row r="4">
      <c r="J4" s="28" t="s">
        <v>55</v>
      </c>
      <c r="K4" s="28" t="s">
        <v>16</v>
      </c>
      <c r="L4" s="28" t="s">
        <v>24</v>
      </c>
      <c r="M4" s="28" t="s">
        <v>56</v>
      </c>
      <c r="N4" s="28" t="s">
        <v>57</v>
      </c>
      <c r="O4" s="28" t="s">
        <v>58</v>
      </c>
    </row>
    <row r="5">
      <c r="J5" s="28" t="s">
        <v>38</v>
      </c>
      <c r="K5" s="28" t="s">
        <v>31</v>
      </c>
      <c r="L5" s="29">
        <v>570.0</v>
      </c>
      <c r="M5" s="30">
        <v>40160.0</v>
      </c>
      <c r="N5" s="31">
        <v>0.20945029727756337</v>
      </c>
      <c r="O5" s="28">
        <v>2.0</v>
      </c>
    </row>
    <row r="6">
      <c r="J6" s="28"/>
      <c r="K6" s="28" t="s">
        <v>26</v>
      </c>
      <c r="L6" s="29">
        <v>20.0</v>
      </c>
      <c r="M6" s="30">
        <v>1400.0</v>
      </c>
      <c r="N6" s="31">
        <v>0.007301554187962867</v>
      </c>
      <c r="O6" s="28">
        <v>1.0</v>
      </c>
    </row>
    <row r="7">
      <c r="J7" s="28" t="s">
        <v>40</v>
      </c>
      <c r="K7" s="28" t="s">
        <v>31</v>
      </c>
      <c r="L7" s="29">
        <v>1010.0</v>
      </c>
      <c r="M7" s="30">
        <v>33170.0</v>
      </c>
      <c r="N7" s="31">
        <v>0.1729946802962345</v>
      </c>
      <c r="O7" s="28">
        <v>2.0</v>
      </c>
    </row>
    <row r="8">
      <c r="J8" s="28" t="s">
        <v>34</v>
      </c>
      <c r="K8" s="28" t="s">
        <v>35</v>
      </c>
      <c r="L8" s="29">
        <v>2330.0</v>
      </c>
      <c r="M8" s="30">
        <v>27960.0</v>
      </c>
      <c r="N8" s="31">
        <v>0.14582246792531553</v>
      </c>
      <c r="O8" s="28">
        <v>2.0</v>
      </c>
    </row>
    <row r="9">
      <c r="J9" s="28" t="s">
        <v>29</v>
      </c>
      <c r="K9" s="28" t="s">
        <v>31</v>
      </c>
      <c r="L9" s="29">
        <v>750.0</v>
      </c>
      <c r="M9" s="30">
        <v>24630.0</v>
      </c>
      <c r="N9" s="31">
        <v>0.128455199749661</v>
      </c>
      <c r="O9" s="28">
        <v>2.0</v>
      </c>
    </row>
    <row r="10">
      <c r="J10" s="28"/>
      <c r="K10" s="28" t="s">
        <v>26</v>
      </c>
      <c r="L10" s="29">
        <v>110.0</v>
      </c>
      <c r="M10" s="30">
        <v>3080.0</v>
      </c>
      <c r="N10" s="31">
        <v>0.016063419213518306</v>
      </c>
      <c r="O10" s="28">
        <v>1.0</v>
      </c>
    </row>
    <row r="11">
      <c r="J11" s="28" t="s">
        <v>37</v>
      </c>
      <c r="K11" s="28" t="s">
        <v>35</v>
      </c>
      <c r="L11" s="29">
        <v>1720.0</v>
      </c>
      <c r="M11" s="30">
        <v>20640.0</v>
      </c>
      <c r="N11" s="31">
        <v>0.10764577031396683</v>
      </c>
      <c r="O11" s="28">
        <v>2.0</v>
      </c>
    </row>
    <row r="12">
      <c r="J12" s="28" t="s">
        <v>39</v>
      </c>
      <c r="K12" s="28" t="s">
        <v>35</v>
      </c>
      <c r="L12" s="29">
        <v>1430.0</v>
      </c>
      <c r="M12" s="30">
        <v>14300.0</v>
      </c>
      <c r="N12" s="31">
        <v>0.07458016063419214</v>
      </c>
      <c r="O12" s="28">
        <v>2.0</v>
      </c>
    </row>
    <row r="13">
      <c r="J13" s="28" t="s">
        <v>44</v>
      </c>
      <c r="K13" s="28" t="s">
        <v>31</v>
      </c>
      <c r="L13" s="29">
        <v>280.0</v>
      </c>
      <c r="M13" s="30">
        <v>6580.0</v>
      </c>
      <c r="N13" s="31">
        <v>0.03431730468342547</v>
      </c>
      <c r="O13" s="28">
        <v>1.0</v>
      </c>
    </row>
    <row r="14">
      <c r="J14" s="28" t="s">
        <v>45</v>
      </c>
      <c r="K14" s="28" t="s">
        <v>26</v>
      </c>
      <c r="L14" s="29">
        <v>210.0</v>
      </c>
      <c r="M14" s="30">
        <v>3780.0</v>
      </c>
      <c r="N14" s="31">
        <v>0.01971419630749974</v>
      </c>
      <c r="O14" s="28">
        <v>2.0</v>
      </c>
    </row>
    <row r="15">
      <c r="J15" s="28" t="s">
        <v>43</v>
      </c>
      <c r="K15" s="28" t="s">
        <v>26</v>
      </c>
      <c r="L15" s="29">
        <v>310.0</v>
      </c>
      <c r="M15" s="30">
        <v>3720.0</v>
      </c>
      <c r="N15" s="31">
        <v>0.019401272556587044</v>
      </c>
      <c r="O15" s="28">
        <v>2.0</v>
      </c>
    </row>
    <row r="16">
      <c r="J16" s="28" t="s">
        <v>41</v>
      </c>
      <c r="K16" s="28" t="s">
        <v>35</v>
      </c>
      <c r="L16" s="29">
        <v>640.0</v>
      </c>
      <c r="M16" s="30">
        <v>3200.0</v>
      </c>
      <c r="N16" s="31">
        <v>0.016689266715343695</v>
      </c>
      <c r="O16" s="28">
        <v>1.0</v>
      </c>
    </row>
    <row r="17">
      <c r="J17" s="28" t="s">
        <v>46</v>
      </c>
      <c r="K17" s="28" t="s">
        <v>26</v>
      </c>
      <c r="L17" s="29">
        <v>160.0</v>
      </c>
      <c r="M17" s="30">
        <v>2880.0</v>
      </c>
      <c r="N17" s="31">
        <v>0.015020340043809324</v>
      </c>
      <c r="O17" s="28">
        <v>2.0</v>
      </c>
    </row>
    <row r="18">
      <c r="J18" s="28" t="s">
        <v>49</v>
      </c>
      <c r="K18" s="28" t="s">
        <v>26</v>
      </c>
      <c r="L18" s="29">
        <v>100.0</v>
      </c>
      <c r="M18" s="30">
        <v>2500.0</v>
      </c>
      <c r="N18" s="31">
        <v>0.01303848962136226</v>
      </c>
      <c r="O18" s="28">
        <v>1.0</v>
      </c>
    </row>
    <row r="19">
      <c r="J19" s="28" t="s">
        <v>48</v>
      </c>
      <c r="K19" s="28" t="s">
        <v>26</v>
      </c>
      <c r="L19" s="29">
        <v>110.0</v>
      </c>
      <c r="M19" s="30">
        <v>1320.0</v>
      </c>
      <c r="N19" s="31">
        <v>0.006884322520079274</v>
      </c>
      <c r="O19" s="28">
        <v>2.0</v>
      </c>
    </row>
    <row r="20">
      <c r="J20" s="28" t="s">
        <v>51</v>
      </c>
      <c r="K20" s="28" t="s">
        <v>26</v>
      </c>
      <c r="L20" s="29">
        <v>50.0</v>
      </c>
      <c r="M20" s="30">
        <v>1250.0</v>
      </c>
      <c r="N20" s="31">
        <v>0.00651924481068113</v>
      </c>
      <c r="O20" s="28">
        <v>1.0</v>
      </c>
    </row>
    <row r="21">
      <c r="J21" s="28" t="s">
        <v>47</v>
      </c>
      <c r="K21" s="28" t="s">
        <v>26</v>
      </c>
      <c r="L21" s="29">
        <v>120.0</v>
      </c>
      <c r="M21" s="30">
        <v>720.0</v>
      </c>
      <c r="N21" s="31">
        <v>0.003755085010952331</v>
      </c>
      <c r="O21" s="28">
        <v>1.0</v>
      </c>
    </row>
    <row r="22">
      <c r="J22" s="28" t="s">
        <v>50</v>
      </c>
      <c r="K22" s="28" t="s">
        <v>26</v>
      </c>
      <c r="L22" s="29">
        <v>90.0</v>
      </c>
      <c r="M22" s="30">
        <v>450.0</v>
      </c>
      <c r="N22" s="31">
        <v>0.002346928131845207</v>
      </c>
      <c r="O22" s="28">
        <v>2.0</v>
      </c>
    </row>
    <row r="23">
      <c r="J23" s="28" t="s">
        <v>52</v>
      </c>
      <c r="K23" s="28"/>
      <c r="L23" s="29">
        <v>10010.0</v>
      </c>
      <c r="M23" s="30">
        <v>191740.0</v>
      </c>
      <c r="N23" s="31">
        <v>1.0</v>
      </c>
      <c r="O23" s="28">
        <v>4.0</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26.5"/>
  </cols>
  <sheetData>
    <row r="1">
      <c r="A1" s="18" t="s">
        <v>59</v>
      </c>
      <c r="B1" s="19"/>
      <c r="C1" s="19"/>
      <c r="D1" s="19"/>
      <c r="E1" s="19"/>
      <c r="F1" s="19"/>
    </row>
    <row r="6"/>
    <row r="7"/>
    <row r="8"/>
    <row r="9"/>
    <row r="10"/>
    <row r="11"/>
    <row r="12"/>
    <row r="13"/>
    <row r="14"/>
    <row r="15"/>
    <row r="16"/>
    <row r="17"/>
    <row r="18"/>
    <row r="19"/>
  </sheetData>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13.75"/>
    <col customWidth="1" min="2" max="2" width="21.38"/>
  </cols>
  <sheetData>
    <row r="1">
      <c r="A1" s="18" t="s">
        <v>60</v>
      </c>
      <c r="B1" s="19"/>
      <c r="C1" s="19"/>
      <c r="D1" s="19"/>
      <c r="E1" s="19"/>
      <c r="F1" s="19"/>
    </row>
    <row r="4"/>
    <row r="5"/>
    <row r="6"/>
    <row r="7"/>
    <row r="8"/>
    <row r="9"/>
    <row r="10"/>
    <row r="11"/>
    <row r="12"/>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28.13"/>
  </cols>
  <sheetData>
    <row r="1">
      <c r="A1" s="18" t="s">
        <v>11</v>
      </c>
      <c r="B1" s="19"/>
      <c r="C1" s="19"/>
      <c r="D1" s="19"/>
      <c r="E1" s="19"/>
      <c r="F1" s="19"/>
    </row>
    <row r="4"/>
    <row r="5"/>
    <row r="6"/>
    <row r="7"/>
    <row r="8"/>
    <row r="9"/>
    <row r="10"/>
    <row r="11"/>
    <row r="12"/>
    <row r="13"/>
    <row r="14"/>
    <row r="15"/>
    <row r="16"/>
    <row r="17"/>
    <row r="18"/>
    <row r="19"/>
    <row r="20"/>
    <row r="21"/>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A846"/>
    <outlinePr summaryBelow="0" summaryRight="0"/>
  </sheetPr>
  <sheetViews>
    <sheetView workbookViewId="0"/>
  </sheetViews>
  <sheetFormatPr customHeight="1" defaultColWidth="12.63" defaultRowHeight="15.75"/>
  <cols>
    <col customWidth="1" min="1" max="1" width="10.0"/>
    <col customWidth="1" min="4" max="4" width="6.0"/>
    <col customWidth="1" min="5" max="5" width="5.63"/>
    <col customWidth="1" min="6" max="6" width="8.63"/>
    <col customWidth="1" min="7" max="7" width="9.63"/>
    <col customWidth="1" min="8" max="8" width="11.13"/>
    <col customWidth="1" min="9" max="9" width="10.88"/>
    <col customWidth="1" min="10" max="11" width="11.38"/>
  </cols>
  <sheetData>
    <row r="1">
      <c r="A1" s="18" t="s">
        <v>75</v>
      </c>
      <c r="B1" s="19"/>
      <c r="C1" s="19"/>
      <c r="D1" s="19"/>
      <c r="E1" s="19"/>
    </row>
    <row r="2">
      <c r="A2" s="35" t="b">
        <v>1</v>
      </c>
      <c r="B2" s="36" t="s">
        <v>76</v>
      </c>
      <c r="C2" s="37"/>
      <c r="D2" s="37"/>
      <c r="E2" s="37"/>
      <c r="F2" s="37"/>
      <c r="G2" s="37"/>
      <c r="H2" s="37"/>
      <c r="J2" s="28" t="str">
        <f t="shared" ref="J2:J5" si="1">if(A2,"⭐","")</f>
        <v>⭐</v>
      </c>
      <c r="K2" s="38" t="str">
        <f>if(and(A2,A3,A4,A5),"WELL DONE!!!!","")</f>
        <v>WELL DONE!!!!</v>
      </c>
    </row>
    <row r="3">
      <c r="A3" s="35" t="b">
        <v>1</v>
      </c>
      <c r="B3" s="36" t="s">
        <v>77</v>
      </c>
      <c r="C3" s="37"/>
      <c r="D3" s="37"/>
      <c r="E3" s="37"/>
      <c r="F3" s="37"/>
      <c r="G3" s="37"/>
      <c r="H3" s="37"/>
      <c r="J3" s="28" t="str">
        <f t="shared" si="1"/>
        <v>⭐</v>
      </c>
    </row>
    <row r="4">
      <c r="A4" s="35" t="b">
        <v>1</v>
      </c>
      <c r="B4" s="36" t="s">
        <v>78</v>
      </c>
      <c r="C4" s="37"/>
      <c r="D4" s="37"/>
      <c r="E4" s="37"/>
      <c r="F4" s="37"/>
      <c r="G4" s="37"/>
      <c r="H4" s="37"/>
      <c r="J4" s="28" t="str">
        <f t="shared" si="1"/>
        <v>⭐</v>
      </c>
    </row>
    <row r="5">
      <c r="A5" s="35" t="b">
        <v>1</v>
      </c>
      <c r="B5" s="36" t="s">
        <v>79</v>
      </c>
      <c r="C5" s="39"/>
      <c r="D5" s="39"/>
      <c r="E5" s="39"/>
      <c r="F5" s="37"/>
      <c r="G5" s="37"/>
      <c r="H5" s="37"/>
      <c r="J5" s="28" t="str">
        <f t="shared" si="1"/>
        <v>⭐</v>
      </c>
    </row>
    <row r="6">
      <c r="A6" s="40"/>
      <c r="B6" s="40"/>
      <c r="C6" s="40"/>
      <c r="D6" s="40"/>
      <c r="E6" s="40"/>
    </row>
    <row r="7">
      <c r="A7" s="21" t="s">
        <v>80</v>
      </c>
      <c r="B7" s="21" t="s">
        <v>17</v>
      </c>
      <c r="C7" s="21" t="s">
        <v>81</v>
      </c>
      <c r="D7" s="21" t="s">
        <v>56</v>
      </c>
      <c r="E7" s="21" t="s">
        <v>82</v>
      </c>
      <c r="H7" s="28" t="s">
        <v>80</v>
      </c>
      <c r="I7" s="33" t="s">
        <v>83</v>
      </c>
      <c r="J7" s="33" t="s">
        <v>84</v>
      </c>
    </row>
    <row r="8">
      <c r="A8" s="20" t="s">
        <v>85</v>
      </c>
      <c r="B8" s="20" t="s">
        <v>86</v>
      </c>
      <c r="C8" s="20" t="s">
        <v>87</v>
      </c>
      <c r="D8" s="25">
        <v>3416.0</v>
      </c>
      <c r="E8" s="28">
        <v>1270.0</v>
      </c>
      <c r="H8" s="28" t="s">
        <v>88</v>
      </c>
      <c r="I8" s="28">
        <v>12.0</v>
      </c>
      <c r="J8" s="31">
        <v>0.5847942912518721</v>
      </c>
    </row>
    <row r="9">
      <c r="A9" s="20" t="s">
        <v>89</v>
      </c>
      <c r="B9" s="20" t="s">
        <v>90</v>
      </c>
      <c r="C9" s="20" t="s">
        <v>91</v>
      </c>
      <c r="D9" s="20">
        <v>0.0</v>
      </c>
      <c r="E9" s="28">
        <v>0.0</v>
      </c>
      <c r="H9" s="28" t="s">
        <v>89</v>
      </c>
      <c r="I9" s="28">
        <v>3.0</v>
      </c>
      <c r="J9" s="31">
        <v>0.468487299495615</v>
      </c>
    </row>
    <row r="10">
      <c r="A10" s="20" t="s">
        <v>88</v>
      </c>
      <c r="B10" s="20" t="s">
        <v>92</v>
      </c>
      <c r="C10" s="20" t="s">
        <v>93</v>
      </c>
      <c r="D10" s="20">
        <v>0.0</v>
      </c>
      <c r="E10" s="28">
        <v>0.0</v>
      </c>
      <c r="H10" s="28" t="s">
        <v>85</v>
      </c>
      <c r="I10" s="28">
        <v>4.0</v>
      </c>
      <c r="J10" s="31">
        <v>0.3783367061771225</v>
      </c>
    </row>
    <row r="11">
      <c r="A11" s="20" t="s">
        <v>85</v>
      </c>
      <c r="B11" s="20" t="s">
        <v>32</v>
      </c>
      <c r="C11" s="20" t="s">
        <v>94</v>
      </c>
      <c r="D11" s="25">
        <v>5465.0</v>
      </c>
      <c r="E11" s="28">
        <v>650.0</v>
      </c>
      <c r="H11" s="28" t="s">
        <v>52</v>
      </c>
      <c r="I11" s="28">
        <v>19.0</v>
      </c>
      <c r="J11" s="31">
        <v>0.5406896368373478</v>
      </c>
    </row>
    <row r="12">
      <c r="A12" s="20" t="s">
        <v>88</v>
      </c>
      <c r="B12" s="20" t="s">
        <v>86</v>
      </c>
      <c r="C12" s="20" t="s">
        <v>95</v>
      </c>
      <c r="D12" s="25">
        <v>7148.0</v>
      </c>
      <c r="E12" s="28">
        <v>4140.0</v>
      </c>
      <c r="J12" s="31"/>
    </row>
    <row r="13">
      <c r="A13" s="20" t="s">
        <v>88</v>
      </c>
      <c r="B13" s="20" t="s">
        <v>90</v>
      </c>
      <c r="C13" s="20" t="s">
        <v>96</v>
      </c>
      <c r="D13" s="25">
        <v>4469.0</v>
      </c>
      <c r="E13" s="28">
        <v>2400.0</v>
      </c>
      <c r="J13" s="31"/>
    </row>
    <row r="14">
      <c r="A14" s="20" t="s">
        <v>88</v>
      </c>
      <c r="B14" s="20" t="s">
        <v>32</v>
      </c>
      <c r="C14" s="20" t="s">
        <v>97</v>
      </c>
      <c r="D14" s="20">
        <v>463.0</v>
      </c>
      <c r="E14" s="28">
        <v>70.0</v>
      </c>
      <c r="J14" s="31"/>
    </row>
    <row r="15">
      <c r="A15" s="20" t="s">
        <v>88</v>
      </c>
      <c r="B15" s="20" t="s">
        <v>92</v>
      </c>
      <c r="C15" s="20" t="s">
        <v>98</v>
      </c>
      <c r="D15" s="25">
        <v>2554.0</v>
      </c>
      <c r="E15" s="28">
        <v>730.0</v>
      </c>
      <c r="J15" s="31"/>
    </row>
    <row r="16">
      <c r="A16" s="20" t="s">
        <v>85</v>
      </c>
      <c r="B16" s="20" t="s">
        <v>90</v>
      </c>
      <c r="C16" s="20" t="s">
        <v>94</v>
      </c>
      <c r="D16" s="25">
        <v>1171.0</v>
      </c>
      <c r="E16" s="28">
        <v>1080.0</v>
      </c>
      <c r="J16" s="31"/>
    </row>
    <row r="17">
      <c r="A17" s="20" t="s">
        <v>88</v>
      </c>
      <c r="B17" s="20" t="s">
        <v>86</v>
      </c>
      <c r="C17" s="20" t="s">
        <v>97</v>
      </c>
      <c r="D17" s="25">
        <v>1340.0</v>
      </c>
      <c r="E17" s="28">
        <v>60.0</v>
      </c>
      <c r="J17" s="31"/>
    </row>
    <row r="18">
      <c r="A18" s="20" t="s">
        <v>85</v>
      </c>
      <c r="B18" s="20" t="s">
        <v>92</v>
      </c>
      <c r="C18" s="20" t="s">
        <v>87</v>
      </c>
      <c r="D18" s="25">
        <v>12979.0</v>
      </c>
      <c r="E18" s="28">
        <v>6820.0</v>
      </c>
      <c r="J18" s="31"/>
    </row>
    <row r="19">
      <c r="A19" s="20" t="s">
        <v>85</v>
      </c>
      <c r="B19" s="20" t="s">
        <v>32</v>
      </c>
      <c r="C19" s="20" t="s">
        <v>87</v>
      </c>
      <c r="D19" s="20">
        <v>911.0</v>
      </c>
      <c r="E19" s="28">
        <v>880.0</v>
      </c>
      <c r="J19" s="31"/>
    </row>
    <row r="20">
      <c r="A20" s="20" t="s">
        <v>85</v>
      </c>
      <c r="B20" s="20" t="s">
        <v>86</v>
      </c>
      <c r="C20" s="20" t="s">
        <v>94</v>
      </c>
      <c r="D20" s="25">
        <v>7514.0</v>
      </c>
      <c r="E20" s="28">
        <v>430.0</v>
      </c>
      <c r="J20" s="31"/>
    </row>
    <row r="21">
      <c r="A21" s="20" t="s">
        <v>85</v>
      </c>
      <c r="B21" s="20" t="s">
        <v>32</v>
      </c>
      <c r="C21" s="20" t="s">
        <v>99</v>
      </c>
      <c r="D21" s="25">
        <v>2732.0</v>
      </c>
      <c r="E21" s="28">
        <v>750.0</v>
      </c>
      <c r="J21" s="31"/>
    </row>
    <row r="22">
      <c r="A22" s="20" t="s">
        <v>88</v>
      </c>
      <c r="B22" s="20" t="s">
        <v>100</v>
      </c>
      <c r="C22" s="20" t="s">
        <v>93</v>
      </c>
      <c r="D22" s="25">
        <v>5254.0</v>
      </c>
      <c r="E22" s="28">
        <v>2390.0</v>
      </c>
    </row>
    <row r="23">
      <c r="A23" s="20" t="s">
        <v>89</v>
      </c>
      <c r="B23" s="20" t="s">
        <v>92</v>
      </c>
      <c r="C23" s="20" t="s">
        <v>91</v>
      </c>
      <c r="D23" s="20">
        <v>0.0</v>
      </c>
      <c r="E23" s="28">
        <v>0.0</v>
      </c>
    </row>
    <row r="24">
      <c r="A24" s="20" t="s">
        <v>88</v>
      </c>
      <c r="B24" s="20" t="s">
        <v>86</v>
      </c>
      <c r="C24" s="20" t="s">
        <v>101</v>
      </c>
      <c r="D24" s="25">
        <v>6701.0</v>
      </c>
      <c r="E24" s="28">
        <v>6470.0</v>
      </c>
    </row>
    <row r="25">
      <c r="A25" s="20" t="s">
        <v>85</v>
      </c>
      <c r="B25" s="20" t="s">
        <v>32</v>
      </c>
      <c r="C25" s="20" t="s">
        <v>102</v>
      </c>
      <c r="D25" s="20">
        <v>911.0</v>
      </c>
      <c r="E25" s="28">
        <v>500.0</v>
      </c>
    </row>
    <row r="26">
      <c r="A26" s="20" t="s">
        <v>85</v>
      </c>
      <c r="B26" s="20" t="s">
        <v>92</v>
      </c>
      <c r="C26" s="20" t="s">
        <v>102</v>
      </c>
      <c r="D26" s="25">
        <v>1220.0</v>
      </c>
      <c r="E26" s="28">
        <v>910.0</v>
      </c>
    </row>
    <row r="27">
      <c r="A27" s="20" t="s">
        <v>88</v>
      </c>
      <c r="B27" s="20" t="s">
        <v>92</v>
      </c>
      <c r="C27" s="20" t="s">
        <v>103</v>
      </c>
      <c r="D27" s="25">
        <v>8514.0</v>
      </c>
      <c r="E27" s="28">
        <v>7560.0</v>
      </c>
    </row>
    <row r="28">
      <c r="A28" s="20" t="s">
        <v>88</v>
      </c>
      <c r="B28" s="20" t="s">
        <v>100</v>
      </c>
      <c r="C28" s="20" t="s">
        <v>104</v>
      </c>
      <c r="D28" s="25">
        <v>7443.0</v>
      </c>
      <c r="E28" s="28">
        <v>3200.0</v>
      </c>
    </row>
    <row r="29">
      <c r="A29" s="20" t="s">
        <v>88</v>
      </c>
      <c r="B29" s="20" t="s">
        <v>90</v>
      </c>
      <c r="C29" s="20" t="s">
        <v>98</v>
      </c>
      <c r="D29" s="25">
        <v>2483.0</v>
      </c>
      <c r="E29" s="28">
        <v>1190.0</v>
      </c>
    </row>
    <row r="30">
      <c r="A30" s="20" t="s">
        <v>88</v>
      </c>
      <c r="B30" s="20" t="s">
        <v>32</v>
      </c>
      <c r="C30" s="20" t="s">
        <v>101</v>
      </c>
      <c r="D30" s="25">
        <v>15754.0</v>
      </c>
      <c r="E30" s="28">
        <v>5220.0</v>
      </c>
    </row>
    <row r="31">
      <c r="A31" s="20" t="s">
        <v>88</v>
      </c>
      <c r="B31" s="20" t="s">
        <v>90</v>
      </c>
      <c r="C31" s="20" t="s">
        <v>93</v>
      </c>
      <c r="D31" s="25">
        <v>11917.0</v>
      </c>
      <c r="E31" s="28">
        <v>11610.0</v>
      </c>
    </row>
    <row r="32">
      <c r="A32" s="20" t="s">
        <v>88</v>
      </c>
      <c r="B32" s="20" t="s">
        <v>92</v>
      </c>
      <c r="C32" s="20" t="s">
        <v>105</v>
      </c>
      <c r="D32" s="25">
        <v>5108.0</v>
      </c>
      <c r="E32" s="28">
        <v>5010.0</v>
      </c>
    </row>
    <row r="33">
      <c r="A33" s="20" t="s">
        <v>88</v>
      </c>
      <c r="B33" s="20" t="s">
        <v>86</v>
      </c>
      <c r="C33" s="20" t="s">
        <v>96</v>
      </c>
      <c r="D33" s="25">
        <v>1787.0</v>
      </c>
      <c r="E33" s="28">
        <v>960.0</v>
      </c>
    </row>
    <row r="34">
      <c r="A34" s="20" t="s">
        <v>85</v>
      </c>
      <c r="B34" s="20" t="s">
        <v>90</v>
      </c>
      <c r="C34" s="20" t="s">
        <v>99</v>
      </c>
      <c r="D34" s="25">
        <v>7612.0</v>
      </c>
      <c r="E34" s="28">
        <v>1630.0</v>
      </c>
    </row>
    <row r="35">
      <c r="A35" s="20" t="s">
        <v>88</v>
      </c>
      <c r="B35" s="20" t="s">
        <v>100</v>
      </c>
      <c r="C35" s="20" t="s">
        <v>101</v>
      </c>
      <c r="D35" s="25">
        <v>6130.0</v>
      </c>
      <c r="E35" s="28">
        <v>1200.0</v>
      </c>
    </row>
    <row r="36">
      <c r="A36" s="20" t="s">
        <v>85</v>
      </c>
      <c r="B36" s="20" t="s">
        <v>100</v>
      </c>
      <c r="C36" s="20" t="s">
        <v>102</v>
      </c>
      <c r="D36" s="20">
        <v>0.0</v>
      </c>
      <c r="E36" s="28">
        <v>0.0</v>
      </c>
    </row>
    <row r="37">
      <c r="A37" s="20" t="s">
        <v>89</v>
      </c>
      <c r="B37" s="20" t="s">
        <v>90</v>
      </c>
      <c r="C37" s="20" t="s">
        <v>106</v>
      </c>
      <c r="D37" s="20">
        <v>684.0</v>
      </c>
      <c r="E37" s="28">
        <v>660.0</v>
      </c>
    </row>
    <row r="38">
      <c r="A38" s="20" t="s">
        <v>85</v>
      </c>
      <c r="B38" s="20" t="s">
        <v>90</v>
      </c>
      <c r="C38" s="20" t="s">
        <v>87</v>
      </c>
      <c r="D38" s="20">
        <v>0.0</v>
      </c>
      <c r="E38" s="28">
        <v>0.0</v>
      </c>
    </row>
    <row r="39">
      <c r="A39" s="20" t="s">
        <v>89</v>
      </c>
      <c r="B39" s="20" t="s">
        <v>32</v>
      </c>
      <c r="C39" s="20" t="s">
        <v>107</v>
      </c>
      <c r="D39" s="25">
        <v>12235.0</v>
      </c>
      <c r="E39" s="28">
        <v>5130.0</v>
      </c>
    </row>
    <row r="40">
      <c r="A40" s="20" t="s">
        <v>88</v>
      </c>
      <c r="B40" s="20" t="s">
        <v>32</v>
      </c>
      <c r="C40" s="20" t="s">
        <v>103</v>
      </c>
      <c r="D40" s="25">
        <v>2317.0</v>
      </c>
      <c r="E40" s="28">
        <v>2000.0</v>
      </c>
    </row>
    <row r="41">
      <c r="A41" s="20" t="s">
        <v>85</v>
      </c>
      <c r="B41" s="20" t="s">
        <v>100</v>
      </c>
      <c r="C41" s="20" t="s">
        <v>99</v>
      </c>
      <c r="D41" s="20">
        <v>0.0</v>
      </c>
      <c r="E41" s="28">
        <v>0.0</v>
      </c>
    </row>
    <row r="42">
      <c r="A42" s="20" t="s">
        <v>88</v>
      </c>
      <c r="B42" s="20" t="s">
        <v>32</v>
      </c>
      <c r="C42" s="20" t="s">
        <v>93</v>
      </c>
      <c r="D42" s="25">
        <v>9731.0</v>
      </c>
      <c r="E42" s="28">
        <v>6530.0</v>
      </c>
    </row>
    <row r="43">
      <c r="A43" s="20" t="s">
        <v>89</v>
      </c>
      <c r="B43" s="20" t="s">
        <v>86</v>
      </c>
      <c r="C43" s="20" t="s">
        <v>107</v>
      </c>
      <c r="D43" s="20">
        <v>0.0</v>
      </c>
      <c r="E43" s="28">
        <v>0.0</v>
      </c>
    </row>
    <row r="44">
      <c r="A44" s="20" t="s">
        <v>88</v>
      </c>
      <c r="B44" s="20" t="s">
        <v>90</v>
      </c>
      <c r="C44" s="20" t="s">
        <v>108</v>
      </c>
      <c r="D44" s="20">
        <v>497.0</v>
      </c>
      <c r="E44" s="28">
        <v>430.0</v>
      </c>
    </row>
    <row r="45">
      <c r="A45" s="20" t="s">
        <v>88</v>
      </c>
      <c r="B45" s="20" t="s">
        <v>86</v>
      </c>
      <c r="C45" s="20" t="s">
        <v>108</v>
      </c>
      <c r="D45" s="25">
        <v>4468.0</v>
      </c>
      <c r="E45" s="28">
        <v>2520.0</v>
      </c>
    </row>
    <row r="46">
      <c r="A46" s="20" t="s">
        <v>88</v>
      </c>
      <c r="B46" s="20" t="s">
        <v>90</v>
      </c>
      <c r="C46" s="20" t="s">
        <v>103</v>
      </c>
      <c r="D46" s="25">
        <v>2979.0</v>
      </c>
      <c r="E46" s="28">
        <v>480.0</v>
      </c>
    </row>
    <row r="47">
      <c r="A47" s="20" t="s">
        <v>88</v>
      </c>
      <c r="B47" s="20" t="s">
        <v>90</v>
      </c>
      <c r="C47" s="20" t="s">
        <v>97</v>
      </c>
      <c r="D47" s="20">
        <v>993.0</v>
      </c>
      <c r="E47" s="28">
        <v>240.0</v>
      </c>
    </row>
    <row r="48">
      <c r="A48" s="20" t="s">
        <v>88</v>
      </c>
      <c r="B48" s="20" t="s">
        <v>86</v>
      </c>
      <c r="C48" s="20" t="s">
        <v>93</v>
      </c>
      <c r="D48" s="25">
        <v>5808.0</v>
      </c>
      <c r="E48" s="28">
        <v>140.0</v>
      </c>
    </row>
    <row r="49">
      <c r="A49" s="20" t="s">
        <v>88</v>
      </c>
      <c r="B49" s="20" t="s">
        <v>100</v>
      </c>
      <c r="C49" s="20" t="s">
        <v>105</v>
      </c>
      <c r="D49" s="25">
        <v>4378.0</v>
      </c>
      <c r="E49" s="28">
        <v>3940.0</v>
      </c>
    </row>
    <row r="50">
      <c r="A50" s="20" t="s">
        <v>89</v>
      </c>
      <c r="B50" s="20" t="s">
        <v>32</v>
      </c>
      <c r="C50" s="20" t="s">
        <v>106</v>
      </c>
      <c r="D50" s="25">
        <v>2622.0</v>
      </c>
      <c r="E50" s="28">
        <v>2090.0</v>
      </c>
    </row>
    <row r="51">
      <c r="A51" s="20" t="s">
        <v>88</v>
      </c>
      <c r="B51" s="20" t="s">
        <v>92</v>
      </c>
      <c r="C51" s="20" t="s">
        <v>97</v>
      </c>
      <c r="D51" s="20">
        <v>0.0</v>
      </c>
      <c r="E51" s="28">
        <v>0.0</v>
      </c>
    </row>
    <row r="52">
      <c r="A52" s="20" t="s">
        <v>88</v>
      </c>
      <c r="B52" s="20" t="s">
        <v>92</v>
      </c>
      <c r="C52" s="20" t="s">
        <v>108</v>
      </c>
      <c r="D52" s="25">
        <v>12771.0</v>
      </c>
      <c r="E52" s="28">
        <v>10960.0</v>
      </c>
    </row>
    <row r="53">
      <c r="A53" s="20" t="s">
        <v>88</v>
      </c>
      <c r="B53" s="20" t="s">
        <v>90</v>
      </c>
      <c r="C53" s="20" t="s">
        <v>109</v>
      </c>
      <c r="D53" s="25">
        <v>3972.0</v>
      </c>
      <c r="E53" s="28">
        <v>920.0</v>
      </c>
    </row>
    <row r="54">
      <c r="A54" s="20" t="s">
        <v>89</v>
      </c>
      <c r="B54" s="20" t="s">
        <v>92</v>
      </c>
      <c r="C54" s="20" t="s">
        <v>106</v>
      </c>
      <c r="D54" s="20">
        <v>0.0</v>
      </c>
      <c r="E54" s="28">
        <v>0.0</v>
      </c>
    </row>
    <row r="55">
      <c r="A55" s="20" t="s">
        <v>88</v>
      </c>
      <c r="B55" s="20" t="s">
        <v>100</v>
      </c>
      <c r="C55" s="20" t="s">
        <v>110</v>
      </c>
      <c r="D55" s="25">
        <v>13135.0</v>
      </c>
      <c r="E55" s="28">
        <v>10420.0</v>
      </c>
    </row>
    <row r="56">
      <c r="A56" s="20" t="s">
        <v>89</v>
      </c>
      <c r="B56" s="20" t="s">
        <v>92</v>
      </c>
      <c r="C56" s="20" t="s">
        <v>107</v>
      </c>
      <c r="D56" s="25">
        <v>2508.0</v>
      </c>
      <c r="E56" s="28">
        <v>1750.0</v>
      </c>
    </row>
    <row r="57">
      <c r="A57" s="20" t="s">
        <v>88</v>
      </c>
      <c r="B57" s="20" t="s">
        <v>32</v>
      </c>
      <c r="C57" s="20" t="s">
        <v>96</v>
      </c>
      <c r="D57" s="20">
        <v>927.0</v>
      </c>
      <c r="E57" s="28">
        <v>890.0</v>
      </c>
    </row>
    <row r="58">
      <c r="A58" s="20" t="s">
        <v>88</v>
      </c>
      <c r="B58" s="20" t="s">
        <v>92</v>
      </c>
      <c r="C58" s="20" t="s">
        <v>95</v>
      </c>
      <c r="D58" s="20">
        <v>0.0</v>
      </c>
      <c r="E58" s="28">
        <v>0.0</v>
      </c>
    </row>
    <row r="59">
      <c r="A59" s="20" t="s">
        <v>88</v>
      </c>
      <c r="B59" s="20" t="s">
        <v>90</v>
      </c>
      <c r="C59" s="20" t="s">
        <v>104</v>
      </c>
      <c r="D59" s="25">
        <v>3476.0</v>
      </c>
      <c r="E59" s="28">
        <v>3420.0</v>
      </c>
    </row>
    <row r="60">
      <c r="A60" s="20" t="s">
        <v>88</v>
      </c>
      <c r="B60" s="20" t="s">
        <v>90</v>
      </c>
      <c r="C60" s="20" t="s">
        <v>110</v>
      </c>
      <c r="D60" s="20">
        <v>993.0</v>
      </c>
      <c r="E60" s="28">
        <v>310.0</v>
      </c>
    </row>
    <row r="61">
      <c r="A61" s="20" t="s">
        <v>88</v>
      </c>
      <c r="B61" s="20" t="s">
        <v>32</v>
      </c>
      <c r="C61" s="20" t="s">
        <v>104</v>
      </c>
      <c r="D61" s="25">
        <v>2317.0</v>
      </c>
      <c r="E61" s="28">
        <v>550.0</v>
      </c>
    </row>
    <row r="62">
      <c r="A62" s="20" t="s">
        <v>88</v>
      </c>
      <c r="B62" s="20" t="s">
        <v>32</v>
      </c>
      <c r="C62" s="20" t="s">
        <v>98</v>
      </c>
      <c r="D62" s="25">
        <v>1853.0</v>
      </c>
      <c r="E62" s="28">
        <v>880.0</v>
      </c>
    </row>
    <row r="63">
      <c r="A63" s="20" t="s">
        <v>88</v>
      </c>
      <c r="B63" s="20" t="s">
        <v>32</v>
      </c>
      <c r="C63" s="20" t="s">
        <v>105</v>
      </c>
      <c r="D63" s="25">
        <v>9267.0</v>
      </c>
      <c r="E63" s="28">
        <v>6790.0</v>
      </c>
    </row>
    <row r="64">
      <c r="A64" s="20" t="s">
        <v>85</v>
      </c>
      <c r="B64" s="20" t="s">
        <v>86</v>
      </c>
      <c r="C64" s="20" t="s">
        <v>102</v>
      </c>
      <c r="D64" s="25">
        <v>1708.0</v>
      </c>
      <c r="E64" s="28">
        <v>150.0</v>
      </c>
    </row>
    <row r="65">
      <c r="A65" s="20" t="s">
        <v>85</v>
      </c>
      <c r="B65" s="20" t="s">
        <v>100</v>
      </c>
      <c r="C65" s="20" t="s">
        <v>94</v>
      </c>
      <c r="D65" s="20">
        <v>0.0</v>
      </c>
      <c r="E65" s="28">
        <v>0.0</v>
      </c>
    </row>
    <row r="66">
      <c r="A66" s="20" t="s">
        <v>88</v>
      </c>
      <c r="B66" s="20" t="s">
        <v>92</v>
      </c>
      <c r="C66" s="20" t="s">
        <v>109</v>
      </c>
      <c r="D66" s="20">
        <v>0.0</v>
      </c>
      <c r="E66" s="28">
        <v>0.0</v>
      </c>
    </row>
    <row r="67">
      <c r="A67" s="20" t="s">
        <v>88</v>
      </c>
      <c r="B67" s="20" t="s">
        <v>86</v>
      </c>
      <c r="C67" s="20" t="s">
        <v>109</v>
      </c>
      <c r="D67" s="25">
        <v>1340.0</v>
      </c>
      <c r="E67" s="28">
        <v>740.0</v>
      </c>
    </row>
    <row r="68">
      <c r="A68" s="20" t="s">
        <v>88</v>
      </c>
      <c r="B68" s="20" t="s">
        <v>90</v>
      </c>
      <c r="C68" s="20" t="s">
        <v>95</v>
      </c>
      <c r="D68" s="20">
        <v>497.0</v>
      </c>
      <c r="E68" s="28">
        <v>100.0</v>
      </c>
    </row>
    <row r="69">
      <c r="A69" s="20" t="s">
        <v>88</v>
      </c>
      <c r="B69" s="20" t="s">
        <v>86</v>
      </c>
      <c r="C69" s="20" t="s">
        <v>110</v>
      </c>
      <c r="D69" s="25">
        <v>8042.0</v>
      </c>
      <c r="E69" s="28">
        <v>1430.0</v>
      </c>
    </row>
    <row r="70">
      <c r="A70" s="20" t="s">
        <v>88</v>
      </c>
      <c r="B70" s="20" t="s">
        <v>100</v>
      </c>
      <c r="C70" s="20" t="s">
        <v>95</v>
      </c>
      <c r="D70" s="25">
        <v>7443.0</v>
      </c>
      <c r="E70" s="28">
        <v>6240.0</v>
      </c>
    </row>
    <row r="71">
      <c r="A71" s="20" t="s">
        <v>88</v>
      </c>
      <c r="B71" s="20" t="s">
        <v>92</v>
      </c>
      <c r="C71" s="20" t="s">
        <v>101</v>
      </c>
      <c r="D71" s="20">
        <v>0.0</v>
      </c>
      <c r="E71" s="28">
        <v>0.0</v>
      </c>
    </row>
    <row r="72">
      <c r="A72" s="20" t="s">
        <v>88</v>
      </c>
      <c r="B72" s="20" t="s">
        <v>32</v>
      </c>
      <c r="C72" s="20" t="s">
        <v>110</v>
      </c>
      <c r="D72" s="25">
        <v>1390.0</v>
      </c>
      <c r="E72" s="28">
        <v>380.0</v>
      </c>
    </row>
    <row r="73">
      <c r="A73" s="20" t="s">
        <v>85</v>
      </c>
      <c r="B73" s="20" t="s">
        <v>100</v>
      </c>
      <c r="C73" s="20" t="s">
        <v>87</v>
      </c>
      <c r="D73" s="25">
        <v>3513.0</v>
      </c>
      <c r="E73" s="28">
        <v>3080.0</v>
      </c>
    </row>
    <row r="74">
      <c r="A74" s="20" t="s">
        <v>88</v>
      </c>
      <c r="B74" s="20" t="s">
        <v>32</v>
      </c>
      <c r="C74" s="20" t="s">
        <v>95</v>
      </c>
      <c r="D74" s="20">
        <v>927.0</v>
      </c>
      <c r="E74" s="28">
        <v>840.0</v>
      </c>
    </row>
    <row r="75">
      <c r="A75" s="20" t="s">
        <v>88</v>
      </c>
      <c r="B75" s="20" t="s">
        <v>90</v>
      </c>
      <c r="C75" s="20" t="s">
        <v>105</v>
      </c>
      <c r="D75" s="25">
        <v>15890.0</v>
      </c>
      <c r="E75" s="28">
        <v>6900.0</v>
      </c>
    </row>
    <row r="76">
      <c r="A76" s="20" t="s">
        <v>88</v>
      </c>
      <c r="B76" s="20" t="s">
        <v>92</v>
      </c>
      <c r="C76" s="20" t="s">
        <v>96</v>
      </c>
      <c r="D76" s="20">
        <v>0.0</v>
      </c>
      <c r="E76" s="28">
        <v>0.0</v>
      </c>
    </row>
    <row r="77">
      <c r="A77" s="20" t="s">
        <v>88</v>
      </c>
      <c r="B77" s="20" t="s">
        <v>86</v>
      </c>
      <c r="C77" s="20" t="s">
        <v>103</v>
      </c>
      <c r="D77" s="20">
        <v>894.0</v>
      </c>
      <c r="E77" s="28">
        <v>260.0</v>
      </c>
    </row>
    <row r="78">
      <c r="A78" s="20" t="s">
        <v>88</v>
      </c>
      <c r="B78" s="20" t="s">
        <v>92</v>
      </c>
      <c r="C78" s="20" t="s">
        <v>110</v>
      </c>
      <c r="D78" s="20">
        <v>851.0</v>
      </c>
      <c r="E78" s="28">
        <v>660.0</v>
      </c>
    </row>
    <row r="79">
      <c r="A79" s="20" t="s">
        <v>88</v>
      </c>
      <c r="B79" s="20" t="s">
        <v>32</v>
      </c>
      <c r="C79" s="20" t="s">
        <v>108</v>
      </c>
      <c r="D79" s="20">
        <v>463.0</v>
      </c>
      <c r="E79" s="28">
        <v>180.0</v>
      </c>
    </row>
    <row r="80">
      <c r="A80" s="20" t="s">
        <v>89</v>
      </c>
      <c r="B80" s="20" t="s">
        <v>32</v>
      </c>
      <c r="C80" s="20" t="s">
        <v>91</v>
      </c>
      <c r="D80" s="25">
        <v>1748.0</v>
      </c>
      <c r="E80" s="28">
        <v>140.0</v>
      </c>
    </row>
    <row r="81">
      <c r="A81" s="20" t="s">
        <v>85</v>
      </c>
      <c r="B81" s="20" t="s">
        <v>92</v>
      </c>
      <c r="C81" s="20" t="s">
        <v>94</v>
      </c>
      <c r="D81" s="25">
        <v>1025.0</v>
      </c>
      <c r="E81" s="28">
        <v>760.0</v>
      </c>
    </row>
    <row r="82">
      <c r="A82" s="20" t="s">
        <v>88</v>
      </c>
      <c r="B82" s="20" t="s">
        <v>92</v>
      </c>
      <c r="C82" s="20" t="s">
        <v>104</v>
      </c>
      <c r="D82" s="25">
        <v>12771.0</v>
      </c>
      <c r="E82" s="28">
        <v>7450.0</v>
      </c>
    </row>
    <row r="83">
      <c r="A83" s="20" t="s">
        <v>89</v>
      </c>
      <c r="B83" s="20" t="s">
        <v>90</v>
      </c>
      <c r="C83" s="20" t="s">
        <v>107</v>
      </c>
      <c r="D83" s="20">
        <v>0.0</v>
      </c>
      <c r="E83" s="28">
        <v>0.0</v>
      </c>
    </row>
    <row r="84">
      <c r="A84" s="20" t="s">
        <v>88</v>
      </c>
      <c r="B84" s="20" t="s">
        <v>86</v>
      </c>
      <c r="C84" s="20" t="s">
        <v>105</v>
      </c>
      <c r="D84" s="25">
        <v>5361.0</v>
      </c>
      <c r="E84" s="28">
        <v>2260.0</v>
      </c>
    </row>
    <row r="85">
      <c r="A85" s="20" t="s">
        <v>88</v>
      </c>
      <c r="B85" s="20" t="s">
        <v>32</v>
      </c>
      <c r="C85" s="20" t="s">
        <v>109</v>
      </c>
      <c r="D85" s="20">
        <v>927.0</v>
      </c>
      <c r="E85" s="28">
        <v>160.0</v>
      </c>
    </row>
    <row r="86">
      <c r="A86" s="20" t="s">
        <v>88</v>
      </c>
      <c r="B86" s="20" t="s">
        <v>86</v>
      </c>
      <c r="C86" s="20" t="s">
        <v>104</v>
      </c>
      <c r="D86" s="25">
        <v>1340.0</v>
      </c>
      <c r="E86" s="28">
        <v>270.0</v>
      </c>
    </row>
    <row r="87">
      <c r="A87" s="20" t="s">
        <v>89</v>
      </c>
      <c r="B87" s="20" t="s">
        <v>86</v>
      </c>
      <c r="C87" s="20" t="s">
        <v>106</v>
      </c>
      <c r="D87" s="20">
        <v>0.0</v>
      </c>
      <c r="E87" s="28">
        <v>0.0</v>
      </c>
    </row>
    <row r="88">
      <c r="A88" s="20" t="s">
        <v>89</v>
      </c>
      <c r="B88" s="20" t="s">
        <v>86</v>
      </c>
      <c r="C88" s="20" t="s">
        <v>91</v>
      </c>
      <c r="D88" s="25">
        <v>2210.0</v>
      </c>
      <c r="E88" s="28">
        <v>540.0</v>
      </c>
    </row>
    <row r="89">
      <c r="A89" s="20" t="s">
        <v>85</v>
      </c>
      <c r="B89" s="20" t="s">
        <v>86</v>
      </c>
      <c r="C89" s="20" t="s">
        <v>99</v>
      </c>
      <c r="D89" s="25">
        <v>1708.0</v>
      </c>
      <c r="E89" s="28">
        <v>720.0</v>
      </c>
    </row>
    <row r="90">
      <c r="A90" s="20" t="s">
        <v>88</v>
      </c>
      <c r="B90" s="20" t="s">
        <v>90</v>
      </c>
      <c r="C90" s="20" t="s">
        <v>101</v>
      </c>
      <c r="D90" s="25">
        <v>1490.0</v>
      </c>
      <c r="E90" s="28">
        <v>880.0</v>
      </c>
    </row>
    <row r="91">
      <c r="A91" s="20" t="s">
        <v>88</v>
      </c>
      <c r="B91" s="20" t="s">
        <v>86</v>
      </c>
      <c r="C91" s="20" t="s">
        <v>98</v>
      </c>
      <c r="D91" s="20">
        <v>447.0</v>
      </c>
      <c r="E91" s="28">
        <v>380.0</v>
      </c>
    </row>
    <row r="92">
      <c r="D92" s="25"/>
    </row>
  </sheetData>
  <conditionalFormatting sqref="K2">
    <cfRule type="notContainsBlanks" dxfId="10" priority="1">
      <formula>LEN(TRIM(K2))&gt;0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f>SUM(Data!J4:J109)</f>
        <v>191740</v>
      </c>
    </row>
  </sheetData>
  <drawing r:id="rId1"/>
</worksheet>
</file>