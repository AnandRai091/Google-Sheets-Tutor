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yntax" sheetId="2" r:id="rId6"/>
    <sheet state="visible" name="Raw Data" sheetId="3" r:id="rId7"/>
    <sheet state="visible" name="Basics" sheetId="4" r:id="rId8"/>
    <sheet state="visible" name="Aggregation" sheetId="5" r:id="rId9"/>
    <sheet state="visible" name="Drop-Down &amp; Totals" sheetId="6" r:id="rId10"/>
    <sheet state="visible" name="Dates" sheetId="7" r:id="rId11"/>
    <sheet state="visible" name="HR" sheetId="8" r:id="rId12"/>
    <sheet state="visible" name="Combine Data (External)" sheetId="9" r:id="rId13"/>
    <sheet state="visible" name="HR New" sheetId="10" r:id="rId14"/>
  </sheets>
  <definedNames/>
  <calcPr/>
</workbook>
</file>

<file path=xl/sharedStrings.xml><?xml version="1.0" encoding="utf-8"?>
<sst xmlns="http://schemas.openxmlformats.org/spreadsheetml/2006/main" count="657" uniqueCount="264">
  <si>
    <t>Google Sheets Essentials</t>
  </si>
  <si>
    <t>QUERY Function</t>
  </si>
  <si>
    <t>LINK</t>
  </si>
  <si>
    <t>TOPIC</t>
  </si>
  <si>
    <t>COMPREHENSION</t>
  </si>
  <si>
    <t>YOUR NOTES</t>
  </si>
  <si>
    <t>QUERY Function Syntax &amp; Important Guidelines</t>
  </si>
  <si>
    <t>Select One…</t>
  </si>
  <si>
    <t>QUERY Function Example (Select, Where, Order by)</t>
  </si>
  <si>
    <t>QUERY Function Aggregation &amp; Calculated Columns</t>
  </si>
  <si>
    <t>QUERY Function with Drop-down List &amp; Dynamic Totals</t>
  </si>
  <si>
    <t>Working with Dates &amp; Months in QUERY Function</t>
  </si>
  <si>
    <t>Combine Data from Multiple Sheets with QUERY Function &amp; IMPORTRANGE</t>
  </si>
  <si>
    <t>Query Syntax</t>
  </si>
  <si>
    <t>https://developers.google.com/chart/interactive/docs/querylanguage</t>
  </si>
  <si>
    <t>Clause</t>
  </si>
  <si>
    <t>Usage</t>
  </si>
  <si>
    <t>select</t>
  </si>
  <si>
    <t>Selects which columns to return, and in what order. If omitted, all of the table's columns are returned, in their default order.</t>
  </si>
  <si>
    <t>where</t>
  </si>
  <si>
    <t>Returns only rows that match a condition. If omitted, all rows are returned.</t>
  </si>
  <si>
    <t>group by</t>
  </si>
  <si>
    <t>Aggregates values across rows (see Aggregation Functions below)</t>
  </si>
  <si>
    <t>pivot</t>
  </si>
  <si>
    <t>Transforms distinct values in columns into new columns.</t>
  </si>
  <si>
    <t>order by</t>
  </si>
  <si>
    <t>Sorts rows by values in columns.</t>
  </si>
  <si>
    <t>limit</t>
  </si>
  <si>
    <t>Limits the number of returned rows.</t>
  </si>
  <si>
    <t>offset</t>
  </si>
  <si>
    <t>Skips a given number of first rows.</t>
  </si>
  <si>
    <t>label</t>
  </si>
  <si>
    <t>Sets column labels.</t>
  </si>
  <si>
    <t>format</t>
  </si>
  <si>
    <t>Formats the values in certain columns using given formatting patterns.</t>
  </si>
  <si>
    <t>options</t>
  </si>
  <si>
    <t>Sets additional options.</t>
  </si>
  <si>
    <t>Identifiers</t>
  </si>
  <si>
    <t>Use Column Letters (e.g. B) if in current Workbook or Column numbers (e.g. Col2) if external or array reference</t>
  </si>
  <si>
    <t>Aggregation Functions</t>
  </si>
  <si>
    <t>Aggregation functions can be used in select, order by, label, format clauses. They cannot appear in where, group by, pivot, limit, offset, or options clauses.</t>
  </si>
  <si>
    <t>Name</t>
  </si>
  <si>
    <t>Description</t>
  </si>
  <si>
    <t>avg()</t>
  </si>
  <si>
    <t>Returns the average value of all values in the column for a group.</t>
  </si>
  <si>
    <t>count()</t>
  </si>
  <si>
    <t>Returns the count of elements in the specified column for a group. Null cells are not counted.</t>
  </si>
  <si>
    <t>max()</t>
  </si>
  <si>
    <t>Returns the maximum value in the column for a group. Dates are compared with earlier being smaller, strings are compared alphabetically, with case-sensitivity.</t>
  </si>
  <si>
    <t>min()</t>
  </si>
  <si>
    <t>Returns the minimum value in the column for a group. Dates are compared with earlier being smaller, strings are compared alphabetically, with case-sensitivity</t>
  </si>
  <si>
    <t>sum()</t>
  </si>
  <si>
    <t>Returns the sum of all values in the column for a group.</t>
  </si>
  <si>
    <t>Arithmetic Functions can also be used (+ - * /)</t>
  </si>
  <si>
    <t>Scalar Functions</t>
  </si>
  <si>
    <t>Scalar functions can be used in any of the following clauses: select, where, group by, pivot, order by, label, and format.</t>
  </si>
  <si>
    <t>year()</t>
  </si>
  <si>
    <t>Returns the year value from a date or datetime value. For example: year(date "2009-02-05") returns 2009.
Parameters: One parameter of type date or datetime
Return Type: number</t>
  </si>
  <si>
    <t>month()</t>
  </si>
  <si>
    <r>
      <rPr>
        <rFont val="Roboto"/>
        <color rgb="FF202124"/>
      </rPr>
      <t xml:space="preserve">Returns the </t>
    </r>
    <r>
      <rPr>
        <rFont val="Roboto"/>
        <b/>
        <color rgb="FF202124"/>
      </rPr>
      <t>zero-based month value</t>
    </r>
    <r>
      <rPr>
        <rFont val="Roboto"/>
        <color rgb="FF202124"/>
      </rPr>
      <t xml:space="preserve"> from a date or datetime value. For example: month(date "2009-02-05") returns 1. Note: the months are 0-based, so the function returns 0 for January, 1 for February, etc.
Parameters: One parameter of type date or datetime
Return Type: number</t>
    </r>
  </si>
  <si>
    <t>day()</t>
  </si>
  <si>
    <t>Returns the day of the month from a date or datetime value. For example: day(date "2009-02-05") returns 5.
Parameters: One parameter of type date or datetime
Return Type: number</t>
  </si>
  <si>
    <t>hour()</t>
  </si>
  <si>
    <t>Returns the hour value from a datetime or timeofday value. For example: hour(timeofday "12:03:17") returns 12.
Parameters: One parameter of type datetime or Timeofday
Return Type: number</t>
  </si>
  <si>
    <t>minute()</t>
  </si>
  <si>
    <t>Returns the minute value from a datetime or timeofday value. For example: minute(timeofday "12:03:17") returns 3.
Parameters: One parameter of type datetime or Timeofday
Return Type: number</t>
  </si>
  <si>
    <t>second()</t>
  </si>
  <si>
    <t>Returns the second value from a datetime or timeofday value. For example: second(timeofday "12:03:17") returns 17.
Parameters: One parameter of type datetime or Timeofday
Return Type: number</t>
  </si>
  <si>
    <t>millisecond()</t>
  </si>
  <si>
    <t>Returns the millisecond part of a datetime or timeofday value. For example: millisecond(timeofday "12:03:17.123") returns 123.
Parameters: One parameter of type datetime or timeofday
Return Type: number</t>
  </si>
  <si>
    <t>quarter()</t>
  </si>
  <si>
    <t>Returns the quarter from a date or datetime value. For example: quarter(date "2009-02-05") returns 1. Note that quarters are 1-based, so the function returns 1 for the first quarter, 2 for the second, etc.
Parameters: One parameter of type date or datetime
Return Type: number</t>
  </si>
  <si>
    <t>dayOfWeek()</t>
  </si>
  <si>
    <t>Returns the day of week from a date or datetime value. For example: dayOfWeek(date "2009-02-26") returns 5. Note that days are 1-based, so the function returns 1 for Sunday, 2 for Monday, etc.
Parameters: One parameter of type date or datetime
Return Type: number</t>
  </si>
  <si>
    <t>now()</t>
  </si>
  <si>
    <t>Returns a datetime value representing the current datetime in the GMT timezone.
Parameters: None
Return Type: datetime</t>
  </si>
  <si>
    <t>dateDiff()</t>
  </si>
  <si>
    <t>Returns the difference in days between two date or datetime values. Note: Only the date parts of the values are used in the calculation and thus the function always returns an integer value. For example: dateDiff(date "2008-03-13", date "2008-02-12") returns 29; dateDiff(date "2009-02-13", date "2009-03-13") returns -29. Time values are truncated before comparison.
Parameters: Two parameters of type date or datetime (can be one of each)
Return Type: number</t>
  </si>
  <si>
    <t>toDate()</t>
  </si>
  <si>
    <t>Transforms the given value to a date value.
Given a date, it returns the same value.
Given a datetime, it returns the date part. For example: toDate(dateTime "2009-01-01 12:00:00") returns "2009-01-01".
Given a number N, it returns a date N milliseconds after the Epoch. The Epoch is defined as January 1,1970, 00:00:00 GMT. For example: toDate(1234567890000) returns "2009-02-13".
Parameters: One parameter of type date, datetime, or number
Return Type: date</t>
  </si>
  <si>
    <t>upper()</t>
  </si>
  <si>
    <t>Returns the given string in upper case letters. For example: upper("foo") returns "FOO".
Parameters: One parameter of type String
Return Type: string</t>
  </si>
  <si>
    <t>lower()</t>
  </si>
  <si>
    <t>Returns the given string in lower case letters. For example: lower("Bar") returns "bar".
Parameters: One parameter of type String
Return Type: string</t>
  </si>
  <si>
    <t>Other common Syntax</t>
  </si>
  <si>
    <t>is not null</t>
  </si>
  <si>
    <t>exclude null values</t>
  </si>
  <si>
    <t>desc</t>
  </si>
  <si>
    <t>descending order</t>
  </si>
  <si>
    <t>and / or</t>
  </si>
  <si>
    <t>date '1989-12-31'</t>
  </si>
  <si>
    <t>Division</t>
  </si>
  <si>
    <t>Region</t>
  </si>
  <si>
    <t>App</t>
  </si>
  <si>
    <t>Actual Sales</t>
  </si>
  <si>
    <t>Budget</t>
  </si>
  <si>
    <t>Game</t>
  </si>
  <si>
    <t>Asia</t>
  </si>
  <si>
    <t>Arcade</t>
  </si>
  <si>
    <t>Aviatrr</t>
  </si>
  <si>
    <t>Baden</t>
  </si>
  <si>
    <t>deRamblr</t>
  </si>
  <si>
    <t>Fightrr</t>
  </si>
  <si>
    <t>Twistrr</t>
  </si>
  <si>
    <t>Australia</t>
  </si>
  <si>
    <t>Five Labs</t>
  </si>
  <si>
    <t>Hackrr</t>
  </si>
  <si>
    <t>Jellyfish</t>
  </si>
  <si>
    <t>Kryptis</t>
  </si>
  <si>
    <t>Perino</t>
  </si>
  <si>
    <t>Pes</t>
  </si>
  <si>
    <t>Europe</t>
  </si>
  <si>
    <t>North America</t>
  </si>
  <si>
    <t>South America</t>
  </si>
  <si>
    <t>Productivity</t>
  </si>
  <si>
    <t>Blend</t>
  </si>
  <si>
    <t>Dasring</t>
  </si>
  <si>
    <t>Didactic</t>
  </si>
  <si>
    <t>Flowrrr</t>
  </si>
  <si>
    <t>Halotot</t>
  </si>
  <si>
    <t>Inkly</t>
  </si>
  <si>
    <t>Kind Ape</t>
  </si>
  <si>
    <t>Mirrrr</t>
  </si>
  <si>
    <t>Pet Feed</t>
  </si>
  <si>
    <t>Rehire</t>
  </si>
  <si>
    <t>Right App</t>
  </si>
  <si>
    <t>Silvrr</t>
  </si>
  <si>
    <t>Sleops</t>
  </si>
  <si>
    <t>Voltage</t>
  </si>
  <si>
    <t>WenCaL</t>
  </si>
  <si>
    <t>Utility</t>
  </si>
  <si>
    <t>Accord</t>
  </si>
  <si>
    <t>Amplefio</t>
  </si>
  <si>
    <t>Atmos</t>
  </si>
  <si>
    <t>Commuta</t>
  </si>
  <si>
    <t>Infic</t>
  </si>
  <si>
    <t>Minor Liar</t>
  </si>
  <si>
    <t>Misty Wash</t>
  </si>
  <si>
    <t>Mosquit</t>
  </si>
  <si>
    <t>Motocyco</t>
  </si>
  <si>
    <t>Scrap</t>
  </si>
  <si>
    <t>Strex</t>
  </si>
  <si>
    <t>Tanox</t>
  </si>
  <si>
    <t>Twenty20</t>
  </si>
  <si>
    <t>Query Function Basics</t>
  </si>
  <si>
    <r>
      <rPr>
        <rFont val="Roboto"/>
        <b/>
        <color theme="1"/>
      </rPr>
      <t>Goal:</t>
    </r>
    <r>
      <rPr>
        <rFont val="Roboto"/>
        <color theme="1"/>
      </rPr>
      <t xml:space="preserve"> Get App, Region and Actual Sales columns - exclude zero and null values</t>
    </r>
  </si>
  <si>
    <t>Query Function Aggregation &amp; Calculated Columns</t>
  </si>
  <si>
    <t>--&gt;</t>
  </si>
  <si>
    <t>Try THIS:</t>
  </si>
  <si>
    <r>
      <rPr>
        <rFont val="Roboto"/>
        <b/>
        <color theme="1"/>
      </rPr>
      <t>Goal:</t>
    </r>
    <r>
      <rPr>
        <rFont val="Roboto"/>
        <color theme="1"/>
      </rPr>
      <t xml:space="preserve"> Get Total Actual, Budget and Difference in Sales by Region.</t>
    </r>
  </si>
  <si>
    <t>Get Total Actual Sales by REGION &amp; DIVISION.</t>
  </si>
  <si>
    <t>Get Total Actual Sales by REGION And Division as Column Headers (Pivot Division)</t>
  </si>
  <si>
    <t>Sort by Actual Sales in descending order</t>
  </si>
  <si>
    <t>Query Function with Drop-Down</t>
  </si>
  <si>
    <t>Query Function with Drop-Down &amp; Dynamic Total Row</t>
  </si>
  <si>
    <r>
      <rPr>
        <rFont val="Roboto"/>
        <b/>
        <color theme="1"/>
      </rPr>
      <t>Goal:</t>
    </r>
    <r>
      <rPr>
        <rFont val="Roboto"/>
        <color theme="1"/>
      </rPr>
      <t xml:space="preserve"> Get Total Actual Sales by Region. Division should be Drop-Down Selection</t>
    </r>
  </si>
  <si>
    <t>Select Division</t>
  </si>
  <si>
    <t>Query Function: Working with Months</t>
  </si>
  <si>
    <t>Working with Dates</t>
  </si>
  <si>
    <t>Raw data = HR sheet</t>
  </si>
  <si>
    <t>Who has birthday in the selected month?</t>
  </si>
  <si>
    <t>Which employees have birthdays after 12/31/1989?</t>
  </si>
  <si>
    <t>Department</t>
  </si>
  <si>
    <t>Position</t>
  </si>
  <si>
    <t>Birth Date</t>
  </si>
  <si>
    <t>Salary</t>
  </si>
  <si>
    <t>Sales</t>
  </si>
  <si>
    <t>Walter Miller</t>
  </si>
  <si>
    <t>Sales Assistant</t>
  </si>
  <si>
    <t>Marketing</t>
  </si>
  <si>
    <t>Alissa Mitchell</t>
  </si>
  <si>
    <t>Marketing Analyst</t>
  </si>
  <si>
    <t>Procurement</t>
  </si>
  <si>
    <t>Ann Withers</t>
  </si>
  <si>
    <t>Procurement Assistant</t>
  </si>
  <si>
    <t>Kim West</t>
  </si>
  <si>
    <t>Finance</t>
  </si>
  <si>
    <t>Daniel Garrett</t>
  </si>
  <si>
    <t>Accountant</t>
  </si>
  <si>
    <t>Robert Marquez</t>
  </si>
  <si>
    <t>Buyer</t>
  </si>
  <si>
    <t>Vanessa Chavez</t>
  </si>
  <si>
    <t>Marketing Assistant</t>
  </si>
  <si>
    <t>Robert Musser</t>
  </si>
  <si>
    <t>Jessica Lowe</t>
  </si>
  <si>
    <t>Sales Representative</t>
  </si>
  <si>
    <t>Evie Williamson</t>
  </si>
  <si>
    <t>Skye Bennett</t>
  </si>
  <si>
    <t>Braeden Wilkins</t>
  </si>
  <si>
    <t>Donald Caldwell</t>
  </si>
  <si>
    <t>Financial Analyst</t>
  </si>
  <si>
    <t>Amber Stevens</t>
  </si>
  <si>
    <t>Project Manager</t>
  </si>
  <si>
    <t>Matilda Parry</t>
  </si>
  <si>
    <t>Digital Marketing Manager</t>
  </si>
  <si>
    <t>Jordan Parry</t>
  </si>
  <si>
    <t>Digital Marketing</t>
  </si>
  <si>
    <t>Charlie Chambers</t>
  </si>
  <si>
    <t>Tommy Dixon</t>
  </si>
  <si>
    <t>Sales Analyst</t>
  </si>
  <si>
    <t>Robert Hurley</t>
  </si>
  <si>
    <t>Sales Reporting</t>
  </si>
  <si>
    <t>Harry Burke</t>
  </si>
  <si>
    <t>Richard Elliot</t>
  </si>
  <si>
    <t>Lukas Hofer</t>
  </si>
  <si>
    <t>Tax Analyst</t>
  </si>
  <si>
    <t>Judy Bell</t>
  </si>
  <si>
    <t>Marketing Manager</t>
  </si>
  <si>
    <t>Heidi Medina</t>
  </si>
  <si>
    <t>Projects Lead</t>
  </si>
  <si>
    <t>Matthew Ross</t>
  </si>
  <si>
    <t>Lead Buyer</t>
  </si>
  <si>
    <t>Esme Carney</t>
  </si>
  <si>
    <t>Zac Fletcher</t>
  </si>
  <si>
    <t>Sales Projects</t>
  </si>
  <si>
    <t>Kristina Mclean</t>
  </si>
  <si>
    <t>Sales Project Manager</t>
  </si>
  <si>
    <t>Tom Wood</t>
  </si>
  <si>
    <t>Betina Bauer</t>
  </si>
  <si>
    <t>Cora Briggs</t>
  </si>
  <si>
    <t>Mike Saban</t>
  </si>
  <si>
    <t>Category Manager</t>
  </si>
  <si>
    <t>Gary Miller</t>
  </si>
  <si>
    <t>Controller</t>
  </si>
  <si>
    <t>Holly Macdonald</t>
  </si>
  <si>
    <t>Insurance Advisor</t>
  </si>
  <si>
    <t>Crystal Doyle</t>
  </si>
  <si>
    <t>Finance Director</t>
  </si>
  <si>
    <t>Corinna Schmidt</t>
  </si>
  <si>
    <t>Brigitte Bond</t>
  </si>
  <si>
    <t>Sales Manager</t>
  </si>
  <si>
    <t>Imogen Clarke</t>
  </si>
  <si>
    <t>Tax Professional</t>
  </si>
  <si>
    <t>Paul Hill</t>
  </si>
  <si>
    <t>Finance Manager</t>
  </si>
  <si>
    <t>Stevie Bridge</t>
  </si>
  <si>
    <t>Sales Reporting Head</t>
  </si>
  <si>
    <t>Alex Collins</t>
  </si>
  <si>
    <t>Procurement Manager</t>
  </si>
  <si>
    <t>Robert Richardson</t>
  </si>
  <si>
    <t>Head of Sales</t>
  </si>
  <si>
    <t>Query Function: Combine Data from Different Sheets</t>
  </si>
  <si>
    <t>Query Function: Combine Data from an External File</t>
  </si>
  <si>
    <r>
      <rPr>
        <rFont val="Roboto"/>
        <b/>
        <color theme="1"/>
      </rPr>
      <t>Goal:</t>
    </r>
    <r>
      <rPr>
        <rFont val="Roboto"/>
        <color theme="1"/>
      </rPr>
      <t xml:space="preserve"> Get the count of employees in each department from "HR" AND "HR New" Tab</t>
    </r>
  </si>
  <si>
    <r>
      <rPr>
        <rFont val="Roboto"/>
        <b/>
        <color theme="1"/>
      </rPr>
      <t>Goal:</t>
    </r>
    <r>
      <rPr>
        <rFont val="Roboto"/>
        <color theme="1"/>
      </rPr>
      <t xml:space="preserve"> Get the count of employees in each department</t>
    </r>
  </si>
  <si>
    <t>Link to file:</t>
  </si>
  <si>
    <t>https://docs.google.com/spreadsheets/d/1DBr_16g_V1T6w7HwN2VwR_-qXkjwOWzMYttR-5ckVNU/</t>
  </si>
  <si>
    <t>sheet name</t>
  </si>
  <si>
    <t>HR!A3:E50</t>
  </si>
  <si>
    <t>HR New!A3:E50</t>
  </si>
  <si>
    <t>Ewan Thompson</t>
  </si>
  <si>
    <t>Regional Sales Manager</t>
  </si>
  <si>
    <t>Robert Blume</t>
  </si>
  <si>
    <t>Cerys Holmes</t>
  </si>
  <si>
    <t>Management</t>
  </si>
  <si>
    <t>Maisie Burton</t>
  </si>
  <si>
    <t>Managing Director</t>
  </si>
  <si>
    <t>Brittany Long</t>
  </si>
  <si>
    <t>Assistant to MD</t>
  </si>
  <si>
    <t>Legal</t>
  </si>
  <si>
    <t>Dan Ziegler</t>
  </si>
  <si>
    <t>Head of Legal</t>
  </si>
  <si>
    <t>Daniela Schreiber</t>
  </si>
  <si>
    <t>Attorney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</si>
</sst>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-dd"/>
    <numFmt numFmtId="166" formatCode="m/d/yyyy"/>
    <numFmt numFmtId="167" formatCode="mmm-yy"/>
  </numFmts>
  <fonts count="15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u/>
      <color rgb="FF0000FF"/>
    </font>
    <font>
      <b/>
      <color theme="1"/>
      <name val="Roboto"/>
    </font>
    <font>
      <u/>
      <color rgb="FF1A73E8"/>
    </font>
    <font>
      <color rgb="FF202124"/>
      <name val="Roboto"/>
      <scheme val="minor"/>
    </font>
    <font>
      <u/>
      <color rgb="FF1A73E8"/>
    </font>
    <font>
      <b/>
      <color rgb="FF434343"/>
      <name val="Roboto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4FFF9"/>
        <bgColor rgb="FFF4FFF9"/>
      </patternFill>
    </fill>
    <fill>
      <patternFill patternType="solid">
        <fgColor rgb="FF999999"/>
        <bgColor rgb="FF999999"/>
      </patternFill>
    </fill>
    <fill>
      <patternFill patternType="solid">
        <fgColor rgb="FFFFF9E9"/>
        <bgColor rgb="FFFFF9E9"/>
      </patternFill>
    </fill>
    <fill>
      <patternFill patternType="solid">
        <fgColor rgb="FFFFFAEC"/>
        <bgColor rgb="FFFFFAEC"/>
      </patternFill>
    </fill>
  </fills>
  <borders count="11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02A846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medium">
        <color rgb="FF666666"/>
      </bottom>
    </border>
    <border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horizontal="left" readingOrder="0" vertical="bottom"/>
    </xf>
    <xf borderId="5" fillId="0" fontId="11" numFmtId="0" xfId="0" applyAlignment="1" applyBorder="1" applyFont="1">
      <alignment horizontal="left" readingOrder="0" vertical="top"/>
    </xf>
    <xf borderId="5" fillId="4" fontId="12" numFmtId="0" xfId="0" applyAlignment="1" applyBorder="1" applyFill="1" applyFont="1">
      <alignment horizontal="left" readingOrder="0" shrinkToFit="0" vertical="top" wrapText="1"/>
    </xf>
    <xf borderId="6" fillId="0" fontId="13" numFmtId="0" xfId="0" applyAlignment="1" applyBorder="1" applyFont="1">
      <alignment horizontal="left" readingOrder="0" vertical="top"/>
    </xf>
    <xf borderId="6" fillId="4" fontId="12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5" fillId="0" fontId="14" numFmtId="0" xfId="0" applyAlignment="1" applyBorder="1" applyFont="1">
      <alignment horizontal="left" readingOrder="0" vertical="top"/>
    </xf>
    <xf borderId="6" fillId="0" fontId="14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0" fillId="5" fontId="6" numFmtId="0" xfId="0" applyFill="1" applyFont="1"/>
    <xf borderId="0" fillId="0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1" numFmtId="3" xfId="0" applyFont="1" applyNumberFormat="1"/>
    <xf borderId="8" fillId="0" fontId="6" numFmtId="0" xfId="0" applyBorder="1" applyFont="1"/>
    <xf borderId="8" fillId="5" fontId="6" numFmtId="0" xfId="0" applyBorder="1" applyFont="1"/>
    <xf borderId="8" fillId="0" fontId="1" numFmtId="0" xfId="0" applyBorder="1" applyFont="1"/>
    <xf borderId="9" fillId="7" fontId="6" numFmtId="0" xfId="0" applyAlignment="1" applyBorder="1" applyFill="1" applyFont="1">
      <alignment readingOrder="0"/>
    </xf>
    <xf borderId="10" fillId="8" fontId="1" numFmtId="0" xfId="0" applyAlignment="1" applyBorder="1" applyFill="1" applyFont="1">
      <alignment readingOrder="0"/>
    </xf>
    <xf borderId="10" fillId="8" fontId="1" numFmtId="164" xfId="0" applyAlignment="1" applyBorder="1" applyFont="1" applyNumberFormat="1">
      <alignment readingOrder="0"/>
    </xf>
    <xf borderId="0" fillId="0" fontId="1" numFmtId="165" xfId="0" applyFont="1" applyNumberFormat="1"/>
    <xf borderId="0" fillId="0" fontId="6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8" fillId="0" fontId="6" numFmtId="0" xfId="0" applyAlignment="1" applyBorder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571500</xdr:colOff>
      <xdr:row>1</xdr:row>
      <xdr:rowOff>57150</xdr:rowOff>
    </xdr:from>
    <xdr:ext cx="3933825" cy="3295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</xdr:row>
      <xdr:rowOff>57150</xdr:rowOff>
    </xdr:from>
    <xdr:ext cx="3362325" cy="2819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571500</xdr:colOff>
      <xdr:row>0</xdr:row>
      <xdr:rowOff>200025</xdr:rowOff>
    </xdr:from>
    <xdr:ext cx="1952625" cy="179070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200025</xdr:colOff>
      <xdr:row>3</xdr:row>
      <xdr:rowOff>133350</xdr:rowOff>
    </xdr:from>
    <xdr:ext cx="2247900" cy="1238250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2</xdr:row>
      <xdr:rowOff>95250</xdr:rowOff>
    </xdr:from>
    <xdr:ext cx="3362325" cy="2819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1</xdr:row>
      <xdr:rowOff>152400</xdr:rowOff>
    </xdr:from>
    <xdr:ext cx="3095625" cy="2562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2</xdr:row>
      <xdr:rowOff>123825</xdr:rowOff>
    </xdr:from>
    <xdr:ext cx="3095625" cy="2562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chart/interactive/docs/querylanguage" TargetMode="External"/><Relationship Id="rId2" Type="http://schemas.openxmlformats.org/officeDocument/2006/relationships/hyperlink" Target="https://developers.google.com/chart/interactive/docs/querylanguage" TargetMode="External"/><Relationship Id="rId3" Type="http://schemas.openxmlformats.org/officeDocument/2006/relationships/hyperlink" Target="https://developers.google.com/chart/interactive/docs/querylanguage" TargetMode="External"/><Relationship Id="rId4" Type="http://schemas.openxmlformats.org/officeDocument/2006/relationships/hyperlink" Target="https://developers.google.com/chart/interactive/docs/querylanguage" TargetMode="External"/><Relationship Id="rId11" Type="http://schemas.openxmlformats.org/officeDocument/2006/relationships/hyperlink" Target="https://developers.google.com/chart/interactive/docs/querylanguage" TargetMode="External"/><Relationship Id="rId10" Type="http://schemas.openxmlformats.org/officeDocument/2006/relationships/hyperlink" Target="https://developers.google.com/chart/interactive/docs/querylanguage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evelopers.google.com/chart/interactive/docs/querylanguage" TargetMode="External"/><Relationship Id="rId5" Type="http://schemas.openxmlformats.org/officeDocument/2006/relationships/hyperlink" Target="https://developers.google.com/chart/interactive/docs/querylanguage" TargetMode="External"/><Relationship Id="rId6" Type="http://schemas.openxmlformats.org/officeDocument/2006/relationships/hyperlink" Target="https://developers.google.com/chart/interactive/docs/querylanguage" TargetMode="External"/><Relationship Id="rId7" Type="http://schemas.openxmlformats.org/officeDocument/2006/relationships/hyperlink" Target="https://developers.google.com/chart/interactive/docs/querylanguage" TargetMode="External"/><Relationship Id="rId8" Type="http://schemas.openxmlformats.org/officeDocument/2006/relationships/hyperlink" Target="https://developers.google.com/chart/interactive/docs/querylanguag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Br_16g_V1T6w7HwN2VwR_-qXkjwOWzMYttR-5ckVNU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0" t="s">
        <v>2</v>
      </c>
      <c r="C10" s="14" t="s">
        <v>12</v>
      </c>
      <c r="D10" s="13"/>
      <c r="E10" s="15" t="s">
        <v>7</v>
      </c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>
      <c r="A12" s="13"/>
      <c r="B12" s="13"/>
      <c r="C12" s="14"/>
      <c r="D12" s="13"/>
      <c r="E12" s="15"/>
      <c r="F12" s="13"/>
      <c r="G12" s="13"/>
    </row>
    <row r="13" ht="9.75" customHeight="1">
      <c r="A13" s="4"/>
      <c r="B13" s="4"/>
      <c r="C13" s="16"/>
      <c r="D13" s="4"/>
      <c r="E13" s="4"/>
      <c r="F13" s="4"/>
      <c r="G13" s="4"/>
    </row>
  </sheetData>
  <mergeCells count="2">
    <mergeCell ref="B1:G1"/>
    <mergeCell ref="B2:G2"/>
  </mergeCells>
  <conditionalFormatting sqref="B5:F12">
    <cfRule type="expression" dxfId="0" priority="1">
      <formula>$E5="Done &amp; Understood"</formula>
    </cfRule>
  </conditionalFormatting>
  <conditionalFormatting sqref="B5:F12">
    <cfRule type="expression" dxfId="1" priority="2">
      <formula>$E5="Done but needs practice"</formula>
    </cfRule>
  </conditionalFormatting>
  <conditionalFormatting sqref="B5:F12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0">
      <formula1>"Select One…,Done &amp; Understood,Done but needs practice,Review Later"</formula1>
    </dataValidation>
  </dataValidations>
  <hyperlinks>
    <hyperlink display="LINK" location="Syntax!A1" ref="B5"/>
    <hyperlink display="LINK" location="Basics!A1" ref="B6"/>
    <hyperlink display="LINK" location="Aggregation!A1" ref="B7"/>
    <hyperlink display="LINK" location="'Drop-Down &amp; Totals'!A1" ref="B8"/>
    <hyperlink display="LINK" location="Dates!A1" ref="B9"/>
    <hyperlink display="LINK" location="'Combine Data (External)'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55.75"/>
  </cols>
  <sheetData>
    <row r="1">
      <c r="A1" s="17" t="s">
        <v>13</v>
      </c>
      <c r="B1" s="18"/>
      <c r="C1" s="18"/>
      <c r="D1" s="18"/>
      <c r="E1" s="18"/>
      <c r="F1" s="18"/>
    </row>
    <row r="3">
      <c r="A3" s="19" t="s">
        <v>14</v>
      </c>
    </row>
    <row r="5">
      <c r="A5" s="20" t="s">
        <v>15</v>
      </c>
      <c r="B5" s="20" t="s">
        <v>16</v>
      </c>
    </row>
    <row r="6">
      <c r="A6" s="21" t="s">
        <v>17</v>
      </c>
      <c r="B6" s="22" t="s">
        <v>18</v>
      </c>
    </row>
    <row r="7">
      <c r="A7" s="23" t="s">
        <v>19</v>
      </c>
      <c r="B7" s="24" t="s">
        <v>20</v>
      </c>
    </row>
    <row r="8">
      <c r="A8" s="23" t="s">
        <v>21</v>
      </c>
      <c r="B8" s="24" t="s">
        <v>22</v>
      </c>
    </row>
    <row r="9">
      <c r="A9" s="23" t="s">
        <v>23</v>
      </c>
      <c r="B9" s="24" t="s">
        <v>24</v>
      </c>
    </row>
    <row r="10">
      <c r="A10" s="23" t="s">
        <v>25</v>
      </c>
      <c r="B10" s="24" t="s">
        <v>26</v>
      </c>
    </row>
    <row r="11">
      <c r="A11" s="23" t="s">
        <v>27</v>
      </c>
      <c r="B11" s="24" t="s">
        <v>28</v>
      </c>
    </row>
    <row r="12">
      <c r="A12" s="23" t="s">
        <v>29</v>
      </c>
      <c r="B12" s="24" t="s">
        <v>30</v>
      </c>
    </row>
    <row r="13">
      <c r="A13" s="23" t="s">
        <v>31</v>
      </c>
      <c r="B13" s="24" t="s">
        <v>32</v>
      </c>
    </row>
    <row r="14">
      <c r="A14" s="23" t="s">
        <v>33</v>
      </c>
      <c r="B14" s="24" t="s">
        <v>34</v>
      </c>
    </row>
    <row r="15">
      <c r="A15" s="23" t="s">
        <v>35</v>
      </c>
      <c r="B15" s="24" t="s">
        <v>36</v>
      </c>
    </row>
    <row r="18">
      <c r="A18" s="7" t="s">
        <v>37</v>
      </c>
    </row>
    <row r="19">
      <c r="A19" s="25" t="s">
        <v>38</v>
      </c>
    </row>
    <row r="20">
      <c r="A20" s="7"/>
    </row>
    <row r="21">
      <c r="A21" s="7" t="s">
        <v>39</v>
      </c>
    </row>
    <row r="22">
      <c r="A22" s="25" t="s">
        <v>40</v>
      </c>
    </row>
    <row r="24">
      <c r="A24" s="20" t="s">
        <v>41</v>
      </c>
      <c r="B24" s="20" t="s">
        <v>42</v>
      </c>
    </row>
    <row r="25">
      <c r="A25" s="26" t="s">
        <v>43</v>
      </c>
      <c r="B25" s="22" t="s">
        <v>44</v>
      </c>
    </row>
    <row r="26">
      <c r="A26" s="27" t="s">
        <v>45</v>
      </c>
      <c r="B26" s="24" t="s">
        <v>46</v>
      </c>
    </row>
    <row r="27">
      <c r="A27" s="27" t="s">
        <v>47</v>
      </c>
      <c r="B27" s="24" t="s">
        <v>48</v>
      </c>
    </row>
    <row r="28">
      <c r="A28" s="27" t="s">
        <v>49</v>
      </c>
      <c r="B28" s="24" t="s">
        <v>50</v>
      </c>
    </row>
    <row r="29">
      <c r="A29" s="27" t="s">
        <v>51</v>
      </c>
      <c r="B29" s="24" t="s">
        <v>52</v>
      </c>
    </row>
    <row r="31">
      <c r="A31" s="7" t="s">
        <v>53</v>
      </c>
    </row>
    <row r="32">
      <c r="A32" s="7"/>
    </row>
    <row r="33">
      <c r="A33" s="7" t="s">
        <v>54</v>
      </c>
    </row>
    <row r="34">
      <c r="A34" s="28" t="s">
        <v>55</v>
      </c>
    </row>
    <row r="36">
      <c r="A36" s="20" t="s">
        <v>41</v>
      </c>
      <c r="B36" s="20"/>
    </row>
    <row r="37">
      <c r="A37" s="26" t="s">
        <v>56</v>
      </c>
      <c r="B37" s="22" t="s">
        <v>57</v>
      </c>
    </row>
    <row r="38">
      <c r="A38" s="27" t="s">
        <v>58</v>
      </c>
      <c r="B38" s="24" t="s">
        <v>59</v>
      </c>
    </row>
    <row r="39">
      <c r="A39" s="27" t="s">
        <v>60</v>
      </c>
      <c r="B39" s="24" t="s">
        <v>61</v>
      </c>
    </row>
    <row r="40">
      <c r="A40" s="27" t="s">
        <v>62</v>
      </c>
      <c r="B40" s="24" t="s">
        <v>63</v>
      </c>
    </row>
    <row r="41">
      <c r="A41" s="27" t="s">
        <v>64</v>
      </c>
      <c r="B41" s="24" t="s">
        <v>65</v>
      </c>
    </row>
    <row r="42">
      <c r="A42" s="27" t="s">
        <v>66</v>
      </c>
      <c r="B42" s="24" t="s">
        <v>67</v>
      </c>
    </row>
    <row r="43">
      <c r="A43" s="27" t="s">
        <v>68</v>
      </c>
      <c r="B43" s="24" t="s">
        <v>69</v>
      </c>
    </row>
    <row r="44">
      <c r="A44" s="27" t="s">
        <v>70</v>
      </c>
      <c r="B44" s="24" t="s">
        <v>71</v>
      </c>
    </row>
    <row r="45">
      <c r="A45" s="27" t="s">
        <v>72</v>
      </c>
      <c r="B45" s="24" t="s">
        <v>73</v>
      </c>
    </row>
    <row r="46">
      <c r="A46" s="27" t="s">
        <v>74</v>
      </c>
      <c r="B46" s="24" t="s">
        <v>75</v>
      </c>
    </row>
    <row r="47">
      <c r="A47" s="27" t="s">
        <v>76</v>
      </c>
      <c r="B47" s="24" t="s">
        <v>77</v>
      </c>
    </row>
    <row r="48">
      <c r="A48" s="27" t="s">
        <v>78</v>
      </c>
      <c r="B48" s="24" t="s">
        <v>79</v>
      </c>
    </row>
    <row r="49">
      <c r="A49" s="27" t="s">
        <v>80</v>
      </c>
      <c r="B49" s="24" t="s">
        <v>81</v>
      </c>
    </row>
    <row r="50">
      <c r="A50" s="27" t="s">
        <v>82</v>
      </c>
      <c r="B50" s="24" t="s">
        <v>83</v>
      </c>
    </row>
    <row r="52">
      <c r="A52" s="7" t="s">
        <v>84</v>
      </c>
    </row>
    <row r="53">
      <c r="A53" s="25" t="s">
        <v>85</v>
      </c>
      <c r="B53" s="25" t="s">
        <v>86</v>
      </c>
    </row>
    <row r="54">
      <c r="A54" s="25" t="s">
        <v>87</v>
      </c>
      <c r="B54" s="25" t="s">
        <v>88</v>
      </c>
    </row>
    <row r="55">
      <c r="A55" s="25" t="s">
        <v>89</v>
      </c>
    </row>
    <row r="56">
      <c r="A56" s="25" t="s">
        <v>90</v>
      </c>
    </row>
  </sheetData>
  <hyperlinks>
    <hyperlink r:id="rId1" ref="A3"/>
    <hyperlink r:id="rId2" location="Select" ref="A6"/>
    <hyperlink r:id="rId3" location="Where" ref="A7"/>
    <hyperlink r:id="rId4" location="Group_By" ref="A8"/>
    <hyperlink r:id="rId5" location="Pivot" ref="A9"/>
    <hyperlink r:id="rId6" location="Order_By" ref="A10"/>
    <hyperlink r:id="rId7" location="Limit" ref="A11"/>
    <hyperlink r:id="rId8" location="Offset" ref="A12"/>
    <hyperlink r:id="rId9" location="Label" ref="A13"/>
    <hyperlink r:id="rId10" location="Format" ref="A14"/>
    <hyperlink r:id="rId11" location="Options" ref="A1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38"/>
    <col customWidth="1" min="2" max="2" width="11.63"/>
    <col customWidth="1" min="3" max="3" width="9.38"/>
    <col customWidth="1" min="4" max="4" width="10.63"/>
    <col customWidth="1" min="5" max="5" width="6.63"/>
  </cols>
  <sheetData>
    <row r="2">
      <c r="A2" s="29" t="s">
        <v>91</v>
      </c>
      <c r="B2" s="29" t="s">
        <v>92</v>
      </c>
      <c r="C2" s="29" t="s">
        <v>93</v>
      </c>
      <c r="D2" s="29" t="s">
        <v>94</v>
      </c>
      <c r="E2" s="29" t="s">
        <v>95</v>
      </c>
    </row>
    <row r="3">
      <c r="A3" s="25" t="s">
        <v>96</v>
      </c>
      <c r="B3" s="25" t="s">
        <v>97</v>
      </c>
      <c r="C3" s="25" t="s">
        <v>98</v>
      </c>
      <c r="D3" s="25">
        <v>4378.0</v>
      </c>
      <c r="E3" s="25">
        <v>4159.0</v>
      </c>
    </row>
    <row r="4">
      <c r="A4" s="25" t="s">
        <v>96</v>
      </c>
      <c r="B4" s="25" t="s">
        <v>97</v>
      </c>
      <c r="C4" s="25" t="s">
        <v>99</v>
      </c>
      <c r="D4" s="25">
        <v>5254.0</v>
      </c>
      <c r="E4" s="25">
        <v>4203.0</v>
      </c>
    </row>
    <row r="5">
      <c r="A5" s="25" t="s">
        <v>96</v>
      </c>
      <c r="B5" s="25" t="s">
        <v>97</v>
      </c>
      <c r="C5" s="25" t="s">
        <v>100</v>
      </c>
      <c r="D5" s="25">
        <v>6130.0</v>
      </c>
      <c r="E5" s="25">
        <v>6682.0</v>
      </c>
    </row>
    <row r="6">
      <c r="A6" s="25" t="s">
        <v>96</v>
      </c>
      <c r="B6" s="25" t="s">
        <v>97</v>
      </c>
      <c r="C6" s="25" t="s">
        <v>101</v>
      </c>
      <c r="D6" s="25">
        <v>7443.0</v>
      </c>
      <c r="E6" s="25">
        <v>7220.0</v>
      </c>
    </row>
    <row r="7">
      <c r="A7" s="25" t="s">
        <v>96</v>
      </c>
      <c r="B7" s="25" t="s">
        <v>97</v>
      </c>
      <c r="C7" s="25" t="s">
        <v>102</v>
      </c>
      <c r="D7" s="25">
        <v>13135.0</v>
      </c>
      <c r="E7" s="25">
        <v>15631.0</v>
      </c>
    </row>
    <row r="8">
      <c r="A8" s="25" t="s">
        <v>96</v>
      </c>
      <c r="B8" s="25" t="s">
        <v>97</v>
      </c>
      <c r="C8" s="25" t="s">
        <v>103</v>
      </c>
      <c r="D8" s="25">
        <v>7443.0</v>
      </c>
      <c r="E8" s="25">
        <v>7815.0</v>
      </c>
    </row>
    <row r="9">
      <c r="A9" s="25" t="s">
        <v>96</v>
      </c>
      <c r="B9" s="25" t="s">
        <v>104</v>
      </c>
      <c r="C9" s="25" t="s">
        <v>98</v>
      </c>
      <c r="D9" s="25">
        <v>15890.0</v>
      </c>
      <c r="E9" s="25">
        <v>12712.0</v>
      </c>
    </row>
    <row r="10">
      <c r="A10" s="25" t="s">
        <v>96</v>
      </c>
      <c r="B10" s="25" t="s">
        <v>104</v>
      </c>
      <c r="C10" s="25" t="s">
        <v>99</v>
      </c>
      <c r="D10" s="25">
        <v>11917.0</v>
      </c>
      <c r="E10" s="25">
        <v>14181.0</v>
      </c>
    </row>
    <row r="11">
      <c r="A11" s="25" t="s">
        <v>96</v>
      </c>
      <c r="B11" s="25" t="s">
        <v>104</v>
      </c>
      <c r="C11" s="25" t="s">
        <v>100</v>
      </c>
      <c r="D11" s="25">
        <v>1490.0</v>
      </c>
      <c r="E11" s="25">
        <v>1296.0</v>
      </c>
    </row>
    <row r="12">
      <c r="A12" s="25" t="s">
        <v>96</v>
      </c>
      <c r="B12" s="25" t="s">
        <v>104</v>
      </c>
      <c r="C12" s="25" t="s">
        <v>101</v>
      </c>
      <c r="D12" s="25">
        <v>497.0</v>
      </c>
      <c r="E12" s="25">
        <v>586.0</v>
      </c>
    </row>
    <row r="13">
      <c r="A13" s="25" t="s">
        <v>96</v>
      </c>
      <c r="B13" s="25" t="s">
        <v>104</v>
      </c>
      <c r="C13" s="25" t="s">
        <v>102</v>
      </c>
      <c r="D13" s="25">
        <v>993.0</v>
      </c>
      <c r="E13" s="25">
        <v>1122.0</v>
      </c>
    </row>
    <row r="14">
      <c r="A14" s="25" t="s">
        <v>96</v>
      </c>
      <c r="B14" s="25" t="s">
        <v>104</v>
      </c>
      <c r="C14" s="25" t="s">
        <v>105</v>
      </c>
      <c r="D14" s="25">
        <v>2483.0</v>
      </c>
      <c r="E14" s="25">
        <v>2111.0</v>
      </c>
    </row>
    <row r="15">
      <c r="A15" s="25" t="s">
        <v>96</v>
      </c>
      <c r="B15" s="25" t="s">
        <v>104</v>
      </c>
      <c r="C15" s="25" t="s">
        <v>106</v>
      </c>
      <c r="D15" s="25">
        <v>2979.0</v>
      </c>
      <c r="E15" s="25">
        <v>2919.0</v>
      </c>
    </row>
    <row r="16">
      <c r="A16" s="25" t="s">
        <v>96</v>
      </c>
      <c r="B16" s="25" t="s">
        <v>104</v>
      </c>
      <c r="C16" s="25" t="s">
        <v>107</v>
      </c>
      <c r="D16" s="25">
        <v>3972.0</v>
      </c>
      <c r="E16" s="25">
        <v>4051.0</v>
      </c>
    </row>
    <row r="17">
      <c r="A17" s="25" t="s">
        <v>96</v>
      </c>
      <c r="B17" s="25" t="s">
        <v>104</v>
      </c>
      <c r="C17" s="25" t="s">
        <v>108</v>
      </c>
      <c r="D17" s="25">
        <v>4469.0</v>
      </c>
      <c r="E17" s="25">
        <v>5363.0</v>
      </c>
    </row>
    <row r="18">
      <c r="A18" s="25" t="s">
        <v>96</v>
      </c>
      <c r="B18" s="25" t="s">
        <v>104</v>
      </c>
      <c r="C18" s="25" t="s">
        <v>109</v>
      </c>
      <c r="D18" s="25">
        <v>993.0</v>
      </c>
      <c r="E18" s="25">
        <v>923.0</v>
      </c>
    </row>
    <row r="19">
      <c r="A19" s="25" t="s">
        <v>96</v>
      </c>
      <c r="B19" s="25" t="s">
        <v>104</v>
      </c>
      <c r="C19" s="25" t="s">
        <v>110</v>
      </c>
      <c r="D19" s="25">
        <v>497.0</v>
      </c>
      <c r="E19" s="25">
        <v>467.0</v>
      </c>
    </row>
    <row r="20">
      <c r="A20" s="25" t="s">
        <v>96</v>
      </c>
      <c r="B20" s="25" t="s">
        <v>104</v>
      </c>
      <c r="C20" s="25" t="s">
        <v>103</v>
      </c>
      <c r="D20" s="25">
        <v>3476.0</v>
      </c>
      <c r="E20" s="25">
        <v>3546.0</v>
      </c>
    </row>
    <row r="21">
      <c r="A21" s="25" t="s">
        <v>96</v>
      </c>
      <c r="B21" s="25" t="s">
        <v>111</v>
      </c>
      <c r="C21" s="25" t="s">
        <v>98</v>
      </c>
      <c r="D21" s="25">
        <v>9267.0</v>
      </c>
      <c r="E21" s="25">
        <v>10101.0</v>
      </c>
    </row>
    <row r="22">
      <c r="A22" s="25" t="s">
        <v>96</v>
      </c>
      <c r="B22" s="25" t="s">
        <v>111</v>
      </c>
      <c r="C22" s="25" t="s">
        <v>99</v>
      </c>
      <c r="D22" s="25">
        <v>9731.0</v>
      </c>
      <c r="E22" s="25">
        <v>9536.0</v>
      </c>
    </row>
    <row r="23">
      <c r="A23" s="25" t="s">
        <v>96</v>
      </c>
      <c r="B23" s="25" t="s">
        <v>111</v>
      </c>
      <c r="C23" s="25" t="s">
        <v>100</v>
      </c>
      <c r="D23" s="25">
        <v>15754.0</v>
      </c>
      <c r="E23" s="25">
        <v>12603.0</v>
      </c>
    </row>
    <row r="24">
      <c r="A24" s="25" t="s">
        <v>96</v>
      </c>
      <c r="B24" s="25" t="s">
        <v>111</v>
      </c>
      <c r="C24" s="25" t="s">
        <v>101</v>
      </c>
      <c r="D24" s="25">
        <v>927.0</v>
      </c>
      <c r="E24" s="25">
        <v>973.0</v>
      </c>
    </row>
    <row r="25">
      <c r="A25" s="25" t="s">
        <v>96</v>
      </c>
      <c r="B25" s="25" t="s">
        <v>111</v>
      </c>
      <c r="C25" s="25" t="s">
        <v>102</v>
      </c>
      <c r="D25" s="25">
        <v>1390.0</v>
      </c>
      <c r="E25" s="25">
        <v>1460.0</v>
      </c>
    </row>
    <row r="26">
      <c r="A26" s="25" t="s">
        <v>96</v>
      </c>
      <c r="B26" s="25" t="s">
        <v>111</v>
      </c>
      <c r="C26" s="25" t="s">
        <v>105</v>
      </c>
      <c r="D26" s="25">
        <v>1853.0</v>
      </c>
      <c r="E26" s="25">
        <v>1612.0</v>
      </c>
    </row>
    <row r="27">
      <c r="A27" s="25" t="s">
        <v>96</v>
      </c>
      <c r="B27" s="25" t="s">
        <v>111</v>
      </c>
      <c r="C27" s="25" t="s">
        <v>106</v>
      </c>
      <c r="D27" s="25">
        <v>2317.0</v>
      </c>
      <c r="E27" s="25">
        <v>2039.0</v>
      </c>
    </row>
    <row r="28">
      <c r="A28" s="25" t="s">
        <v>96</v>
      </c>
      <c r="B28" s="25" t="s">
        <v>111</v>
      </c>
      <c r="C28" s="25" t="s">
        <v>107</v>
      </c>
      <c r="D28" s="25">
        <v>927.0</v>
      </c>
      <c r="E28" s="25">
        <v>769.0</v>
      </c>
    </row>
    <row r="29">
      <c r="A29" s="25" t="s">
        <v>96</v>
      </c>
      <c r="B29" s="25" t="s">
        <v>111</v>
      </c>
      <c r="C29" s="25" t="s">
        <v>108</v>
      </c>
      <c r="D29" s="25">
        <v>927.0</v>
      </c>
      <c r="E29" s="25">
        <v>751.0</v>
      </c>
    </row>
    <row r="30">
      <c r="A30" s="25" t="s">
        <v>96</v>
      </c>
      <c r="B30" s="25" t="s">
        <v>111</v>
      </c>
      <c r="C30" s="25" t="s">
        <v>109</v>
      </c>
      <c r="D30" s="25">
        <v>463.0</v>
      </c>
      <c r="E30" s="25">
        <v>505.0</v>
      </c>
    </row>
    <row r="31">
      <c r="A31" s="25" t="s">
        <v>96</v>
      </c>
      <c r="B31" s="25" t="s">
        <v>111</v>
      </c>
      <c r="C31" s="25" t="s">
        <v>110</v>
      </c>
      <c r="D31" s="25">
        <v>463.0</v>
      </c>
      <c r="E31" s="25">
        <v>375.0</v>
      </c>
    </row>
    <row r="32">
      <c r="A32" s="25" t="s">
        <v>96</v>
      </c>
      <c r="B32" s="25" t="s">
        <v>111</v>
      </c>
      <c r="C32" s="25" t="s">
        <v>103</v>
      </c>
      <c r="D32" s="25">
        <v>2317.0</v>
      </c>
      <c r="E32" s="25">
        <v>2780.0</v>
      </c>
    </row>
    <row r="33">
      <c r="A33" s="25" t="s">
        <v>96</v>
      </c>
      <c r="B33" s="25" t="s">
        <v>112</v>
      </c>
      <c r="C33" s="25" t="s">
        <v>98</v>
      </c>
      <c r="D33" s="25">
        <v>5361.0</v>
      </c>
      <c r="E33" s="25">
        <v>5575.0</v>
      </c>
    </row>
    <row r="34">
      <c r="A34" s="25" t="s">
        <v>96</v>
      </c>
      <c r="B34" s="25" t="s">
        <v>112</v>
      </c>
      <c r="C34" s="25" t="s">
        <v>99</v>
      </c>
      <c r="D34" s="25">
        <v>5808.0</v>
      </c>
      <c r="E34" s="25">
        <v>6156.0</v>
      </c>
    </row>
    <row r="35">
      <c r="A35" s="25" t="s">
        <v>96</v>
      </c>
      <c r="B35" s="25" t="s">
        <v>112</v>
      </c>
      <c r="C35" s="25" t="s">
        <v>100</v>
      </c>
      <c r="D35" s="25">
        <v>6701.0</v>
      </c>
      <c r="E35" s="25">
        <v>6500.0</v>
      </c>
    </row>
    <row r="36">
      <c r="A36" s="25" t="s">
        <v>96</v>
      </c>
      <c r="B36" s="25" t="s">
        <v>112</v>
      </c>
      <c r="C36" s="25" t="s">
        <v>101</v>
      </c>
      <c r="D36" s="25">
        <v>7148.0</v>
      </c>
      <c r="E36" s="25">
        <v>7934.0</v>
      </c>
    </row>
    <row r="37">
      <c r="A37" s="25" t="s">
        <v>96</v>
      </c>
      <c r="B37" s="25" t="s">
        <v>112</v>
      </c>
      <c r="C37" s="25" t="s">
        <v>102</v>
      </c>
      <c r="D37" s="25">
        <v>8042.0</v>
      </c>
      <c r="E37" s="25">
        <v>6997.0</v>
      </c>
    </row>
    <row r="38">
      <c r="A38" s="25" t="s">
        <v>96</v>
      </c>
      <c r="B38" s="25" t="s">
        <v>112</v>
      </c>
      <c r="C38" s="25" t="s">
        <v>105</v>
      </c>
      <c r="D38" s="25">
        <v>447.0</v>
      </c>
      <c r="E38" s="25">
        <v>496.0</v>
      </c>
    </row>
    <row r="39">
      <c r="A39" s="25" t="s">
        <v>96</v>
      </c>
      <c r="B39" s="25" t="s">
        <v>112</v>
      </c>
      <c r="C39" s="25" t="s">
        <v>106</v>
      </c>
      <c r="D39" s="25">
        <v>894.0</v>
      </c>
      <c r="E39" s="25">
        <v>1073.0</v>
      </c>
    </row>
    <row r="40">
      <c r="A40" s="25" t="s">
        <v>96</v>
      </c>
      <c r="B40" s="25" t="s">
        <v>112</v>
      </c>
      <c r="C40" s="25" t="s">
        <v>107</v>
      </c>
      <c r="D40" s="25">
        <v>1340.0</v>
      </c>
      <c r="E40" s="25">
        <v>1501.0</v>
      </c>
    </row>
    <row r="41">
      <c r="A41" s="25" t="s">
        <v>96</v>
      </c>
      <c r="B41" s="25" t="s">
        <v>112</v>
      </c>
      <c r="C41" s="25" t="s">
        <v>108</v>
      </c>
      <c r="D41" s="25">
        <v>1787.0</v>
      </c>
      <c r="E41" s="25">
        <v>1984.0</v>
      </c>
    </row>
    <row r="42">
      <c r="A42" s="25" t="s">
        <v>96</v>
      </c>
      <c r="B42" s="25" t="s">
        <v>112</v>
      </c>
      <c r="C42" s="25" t="s">
        <v>109</v>
      </c>
      <c r="D42" s="25">
        <v>1340.0</v>
      </c>
      <c r="E42" s="25">
        <v>1099.0</v>
      </c>
    </row>
    <row r="43">
      <c r="A43" s="25" t="s">
        <v>96</v>
      </c>
      <c r="B43" s="25" t="s">
        <v>112</v>
      </c>
      <c r="C43" s="25" t="s">
        <v>110</v>
      </c>
      <c r="D43" s="25">
        <v>4468.0</v>
      </c>
      <c r="E43" s="25">
        <v>5138.0</v>
      </c>
    </row>
    <row r="44">
      <c r="A44" s="25" t="s">
        <v>96</v>
      </c>
      <c r="B44" s="25" t="s">
        <v>112</v>
      </c>
      <c r="C44" s="25" t="s">
        <v>103</v>
      </c>
      <c r="D44" s="25">
        <v>1340.0</v>
      </c>
      <c r="E44" s="25">
        <v>1380.0</v>
      </c>
    </row>
    <row r="45">
      <c r="A45" s="25" t="s">
        <v>96</v>
      </c>
      <c r="B45" s="25" t="s">
        <v>113</v>
      </c>
      <c r="C45" s="25" t="s">
        <v>98</v>
      </c>
      <c r="D45" s="25">
        <v>5108.0</v>
      </c>
      <c r="E45" s="25">
        <v>4240.0</v>
      </c>
    </row>
    <row r="46">
      <c r="A46" s="25" t="s">
        <v>96</v>
      </c>
      <c r="B46" s="25" t="s">
        <v>113</v>
      </c>
      <c r="C46" s="25" t="s">
        <v>99</v>
      </c>
      <c r="D46" s="25">
        <v>0.0</v>
      </c>
      <c r="E46" s="25">
        <v>0.0</v>
      </c>
    </row>
    <row r="47">
      <c r="A47" s="25" t="s">
        <v>96</v>
      </c>
      <c r="B47" s="25" t="s">
        <v>113</v>
      </c>
      <c r="C47" s="25" t="s">
        <v>100</v>
      </c>
      <c r="D47" s="25">
        <v>0.0</v>
      </c>
      <c r="E47" s="25">
        <v>0.0</v>
      </c>
    </row>
    <row r="48">
      <c r="A48" s="25" t="s">
        <v>96</v>
      </c>
      <c r="B48" s="25" t="s">
        <v>113</v>
      </c>
      <c r="C48" s="25" t="s">
        <v>101</v>
      </c>
      <c r="D48" s="25">
        <v>0.0</v>
      </c>
      <c r="E48" s="25">
        <v>0.0</v>
      </c>
    </row>
    <row r="49">
      <c r="A49" s="25" t="s">
        <v>96</v>
      </c>
      <c r="B49" s="25" t="s">
        <v>113</v>
      </c>
      <c r="C49" s="25" t="s">
        <v>102</v>
      </c>
      <c r="D49" s="25">
        <v>851.0</v>
      </c>
      <c r="E49" s="25">
        <v>996.0</v>
      </c>
    </row>
    <row r="50">
      <c r="A50" s="25" t="s">
        <v>96</v>
      </c>
      <c r="B50" s="25" t="s">
        <v>113</v>
      </c>
      <c r="C50" s="25" t="s">
        <v>105</v>
      </c>
      <c r="D50" s="25">
        <v>2554.0</v>
      </c>
      <c r="E50" s="25">
        <v>3065.0</v>
      </c>
    </row>
    <row r="51">
      <c r="A51" s="25" t="s">
        <v>96</v>
      </c>
      <c r="B51" s="25" t="s">
        <v>113</v>
      </c>
      <c r="C51" s="25" t="s">
        <v>106</v>
      </c>
      <c r="D51" s="25">
        <v>8514.0</v>
      </c>
      <c r="E51" s="25">
        <v>9280.0</v>
      </c>
    </row>
    <row r="52">
      <c r="A52" s="25" t="s">
        <v>96</v>
      </c>
      <c r="B52" s="25" t="s">
        <v>113</v>
      </c>
      <c r="C52" s="25" t="s">
        <v>107</v>
      </c>
      <c r="D52" s="25">
        <v>0.0</v>
      </c>
      <c r="E52" s="25">
        <v>0.0</v>
      </c>
    </row>
    <row r="53">
      <c r="A53" s="25" t="s">
        <v>96</v>
      </c>
      <c r="B53" s="25" t="s">
        <v>113</v>
      </c>
      <c r="C53" s="25" t="s">
        <v>108</v>
      </c>
      <c r="D53" s="25">
        <v>0.0</v>
      </c>
      <c r="E53" s="25">
        <v>0.0</v>
      </c>
    </row>
    <row r="54">
      <c r="A54" s="25" t="s">
        <v>96</v>
      </c>
      <c r="B54" s="25" t="s">
        <v>113</v>
      </c>
      <c r="C54" s="25" t="s">
        <v>109</v>
      </c>
      <c r="D54" s="25">
        <v>0.0</v>
      </c>
      <c r="E54" s="25">
        <v>0.0</v>
      </c>
    </row>
    <row r="55">
      <c r="A55" s="25" t="s">
        <v>96</v>
      </c>
      <c r="B55" s="25" t="s">
        <v>113</v>
      </c>
      <c r="C55" s="25" t="s">
        <v>110</v>
      </c>
      <c r="D55" s="25">
        <v>12771.0</v>
      </c>
      <c r="E55" s="25">
        <v>13410.0</v>
      </c>
    </row>
    <row r="56">
      <c r="A56" s="25" t="s">
        <v>96</v>
      </c>
      <c r="B56" s="25" t="s">
        <v>113</v>
      </c>
      <c r="C56" s="25" t="s">
        <v>103</v>
      </c>
      <c r="D56" s="25">
        <v>12771.0</v>
      </c>
      <c r="E56" s="25">
        <v>10855.0</v>
      </c>
    </row>
    <row r="57">
      <c r="A57" s="25" t="s">
        <v>114</v>
      </c>
      <c r="B57" s="25" t="s">
        <v>97</v>
      </c>
      <c r="C57" s="25" t="s">
        <v>115</v>
      </c>
      <c r="D57" s="25">
        <v>0.0</v>
      </c>
      <c r="E57" s="25">
        <v>0.0</v>
      </c>
    </row>
    <row r="58">
      <c r="A58" s="25" t="s">
        <v>114</v>
      </c>
      <c r="B58" s="25" t="s">
        <v>97</v>
      </c>
      <c r="C58" s="25" t="s">
        <v>116</v>
      </c>
      <c r="D58" s="25">
        <v>0.0</v>
      </c>
      <c r="E58" s="25">
        <v>0.0</v>
      </c>
    </row>
    <row r="59">
      <c r="A59" s="25" t="s">
        <v>114</v>
      </c>
      <c r="B59" s="25" t="s">
        <v>97</v>
      </c>
      <c r="C59" s="25" t="s">
        <v>117</v>
      </c>
      <c r="D59" s="25">
        <v>0.0</v>
      </c>
      <c r="E59" s="25">
        <v>0.0</v>
      </c>
    </row>
    <row r="60">
      <c r="A60" s="25" t="s">
        <v>114</v>
      </c>
      <c r="B60" s="25" t="s">
        <v>97</v>
      </c>
      <c r="C60" s="25" t="s">
        <v>118</v>
      </c>
      <c r="D60" s="25">
        <v>0.0</v>
      </c>
      <c r="E60" s="25">
        <v>0.0</v>
      </c>
    </row>
    <row r="61">
      <c r="A61" s="25" t="s">
        <v>114</v>
      </c>
      <c r="B61" s="25" t="s">
        <v>97</v>
      </c>
      <c r="C61" s="25" t="s">
        <v>119</v>
      </c>
      <c r="D61" s="25">
        <v>3513.0</v>
      </c>
      <c r="E61" s="25">
        <v>2951.0</v>
      </c>
    </row>
    <row r="62">
      <c r="A62" s="25" t="s">
        <v>114</v>
      </c>
      <c r="B62" s="25" t="s">
        <v>97</v>
      </c>
      <c r="C62" s="25" t="s">
        <v>120</v>
      </c>
      <c r="D62" s="25">
        <v>2928.0</v>
      </c>
      <c r="E62" s="25">
        <v>3426.0</v>
      </c>
    </row>
    <row r="63">
      <c r="A63" s="25" t="s">
        <v>114</v>
      </c>
      <c r="B63" s="25" t="s">
        <v>97</v>
      </c>
      <c r="C63" s="25" t="s">
        <v>121</v>
      </c>
      <c r="D63" s="25">
        <v>1757.0</v>
      </c>
      <c r="E63" s="25">
        <v>1634.0</v>
      </c>
    </row>
    <row r="64">
      <c r="A64" s="25" t="s">
        <v>114</v>
      </c>
      <c r="B64" s="25" t="s">
        <v>97</v>
      </c>
      <c r="C64" s="25" t="s">
        <v>122</v>
      </c>
      <c r="D64" s="25">
        <v>3513.0</v>
      </c>
      <c r="E64" s="25">
        <v>3794.0</v>
      </c>
    </row>
    <row r="65">
      <c r="A65" s="25" t="s">
        <v>114</v>
      </c>
      <c r="B65" s="25" t="s">
        <v>97</v>
      </c>
      <c r="C65" s="25" t="s">
        <v>123</v>
      </c>
      <c r="D65" s="25">
        <v>0.0</v>
      </c>
      <c r="E65" s="25">
        <v>0.0</v>
      </c>
    </row>
    <row r="66">
      <c r="A66" s="25" t="s">
        <v>114</v>
      </c>
      <c r="B66" s="25" t="s">
        <v>97</v>
      </c>
      <c r="C66" s="25" t="s">
        <v>124</v>
      </c>
      <c r="D66" s="25">
        <v>0.0</v>
      </c>
      <c r="E66" s="25">
        <v>0.0</v>
      </c>
    </row>
    <row r="67">
      <c r="A67" s="25" t="s">
        <v>114</v>
      </c>
      <c r="B67" s="25" t="s">
        <v>97</v>
      </c>
      <c r="C67" s="25" t="s">
        <v>125</v>
      </c>
      <c r="D67" s="25">
        <v>0.0</v>
      </c>
      <c r="E67" s="25">
        <v>0.0</v>
      </c>
    </row>
    <row r="68">
      <c r="A68" s="25" t="s">
        <v>114</v>
      </c>
      <c r="B68" s="25" t="s">
        <v>97</v>
      </c>
      <c r="C68" s="25" t="s">
        <v>126</v>
      </c>
      <c r="D68" s="25">
        <v>0.0</v>
      </c>
      <c r="E68" s="25">
        <v>0.0</v>
      </c>
    </row>
    <row r="69">
      <c r="A69" s="25" t="s">
        <v>114</v>
      </c>
      <c r="B69" s="25" t="s">
        <v>97</v>
      </c>
      <c r="C69" s="25" t="s">
        <v>127</v>
      </c>
      <c r="D69" s="25">
        <v>878.0</v>
      </c>
      <c r="E69" s="25">
        <v>948.0</v>
      </c>
    </row>
    <row r="70">
      <c r="A70" s="25" t="s">
        <v>114</v>
      </c>
      <c r="B70" s="25" t="s">
        <v>97</v>
      </c>
      <c r="C70" s="25" t="s">
        <v>128</v>
      </c>
      <c r="D70" s="25">
        <v>3513.0</v>
      </c>
      <c r="E70" s="25">
        <v>2810.0</v>
      </c>
    </row>
    <row r="71">
      <c r="A71" s="25" t="s">
        <v>114</v>
      </c>
      <c r="B71" s="25" t="s">
        <v>97</v>
      </c>
      <c r="C71" s="25" t="s">
        <v>129</v>
      </c>
      <c r="D71" s="25">
        <v>13174.0</v>
      </c>
      <c r="E71" s="25">
        <v>13569.0</v>
      </c>
    </row>
    <row r="72">
      <c r="A72" s="25" t="s">
        <v>114</v>
      </c>
      <c r="B72" s="25" t="s">
        <v>104</v>
      </c>
      <c r="C72" s="25" t="s">
        <v>121</v>
      </c>
      <c r="D72" s="25">
        <v>2342.0</v>
      </c>
      <c r="E72" s="25">
        <v>2061.0</v>
      </c>
    </row>
    <row r="73">
      <c r="A73" s="25" t="s">
        <v>114</v>
      </c>
      <c r="B73" s="25" t="s">
        <v>104</v>
      </c>
      <c r="C73" s="25" t="s">
        <v>122</v>
      </c>
      <c r="D73" s="25">
        <v>4977.0</v>
      </c>
      <c r="E73" s="25">
        <v>5724.0</v>
      </c>
    </row>
    <row r="74">
      <c r="A74" s="25" t="s">
        <v>114</v>
      </c>
      <c r="B74" s="25" t="s">
        <v>104</v>
      </c>
      <c r="C74" s="25" t="s">
        <v>123</v>
      </c>
      <c r="D74" s="25">
        <v>7612.0</v>
      </c>
      <c r="E74" s="25">
        <v>7916.0</v>
      </c>
    </row>
    <row r="75">
      <c r="A75" s="25" t="s">
        <v>114</v>
      </c>
      <c r="B75" s="25" t="s">
        <v>104</v>
      </c>
      <c r="C75" s="25" t="s">
        <v>124</v>
      </c>
      <c r="D75" s="25">
        <v>6734.0</v>
      </c>
      <c r="E75" s="25">
        <v>6128.0</v>
      </c>
    </row>
    <row r="76">
      <c r="A76" s="25" t="s">
        <v>114</v>
      </c>
      <c r="B76" s="25" t="s">
        <v>104</v>
      </c>
      <c r="C76" s="25" t="s">
        <v>125</v>
      </c>
      <c r="D76" s="25">
        <v>1171.0</v>
      </c>
      <c r="E76" s="25">
        <v>1124.0</v>
      </c>
    </row>
    <row r="77">
      <c r="A77" s="25" t="s">
        <v>114</v>
      </c>
      <c r="B77" s="25" t="s">
        <v>104</v>
      </c>
      <c r="C77" s="25" t="s">
        <v>126</v>
      </c>
      <c r="D77" s="25">
        <v>0.0</v>
      </c>
      <c r="E77" s="25">
        <v>0.0</v>
      </c>
    </row>
    <row r="78">
      <c r="A78" s="25" t="s">
        <v>114</v>
      </c>
      <c r="B78" s="25" t="s">
        <v>104</v>
      </c>
      <c r="C78" s="25" t="s">
        <v>127</v>
      </c>
      <c r="D78" s="25">
        <v>0.0</v>
      </c>
      <c r="E78" s="25">
        <v>0.0</v>
      </c>
    </row>
    <row r="79">
      <c r="A79" s="25" t="s">
        <v>114</v>
      </c>
      <c r="B79" s="25" t="s">
        <v>104</v>
      </c>
      <c r="C79" s="25" t="s">
        <v>128</v>
      </c>
      <c r="D79" s="25">
        <v>0.0</v>
      </c>
      <c r="E79" s="25">
        <v>0.0</v>
      </c>
    </row>
    <row r="80">
      <c r="A80" s="25" t="s">
        <v>114</v>
      </c>
      <c r="B80" s="25" t="s">
        <v>104</v>
      </c>
      <c r="C80" s="25" t="s">
        <v>129</v>
      </c>
      <c r="D80" s="25">
        <v>6441.0</v>
      </c>
      <c r="E80" s="25">
        <v>6055.0</v>
      </c>
    </row>
    <row r="81">
      <c r="A81" s="25" t="s">
        <v>114</v>
      </c>
      <c r="B81" s="25" t="s">
        <v>111</v>
      </c>
      <c r="C81" s="25" t="s">
        <v>115</v>
      </c>
      <c r="D81" s="25">
        <v>911.0</v>
      </c>
      <c r="E81" s="25">
        <v>1002.0</v>
      </c>
    </row>
    <row r="82">
      <c r="A82" s="25" t="s">
        <v>114</v>
      </c>
      <c r="B82" s="25" t="s">
        <v>111</v>
      </c>
      <c r="C82" s="25" t="s">
        <v>116</v>
      </c>
      <c r="D82" s="25">
        <v>2277.0</v>
      </c>
      <c r="E82" s="25">
        <v>2004.0</v>
      </c>
    </row>
    <row r="83">
      <c r="A83" s="25" t="s">
        <v>114</v>
      </c>
      <c r="B83" s="25" t="s">
        <v>111</v>
      </c>
      <c r="C83" s="25" t="s">
        <v>117</v>
      </c>
      <c r="D83" s="25">
        <v>3188.0</v>
      </c>
      <c r="E83" s="25">
        <v>3794.0</v>
      </c>
    </row>
    <row r="84">
      <c r="A84" s="25" t="s">
        <v>114</v>
      </c>
      <c r="B84" s="25" t="s">
        <v>111</v>
      </c>
      <c r="C84" s="25" t="s">
        <v>118</v>
      </c>
      <c r="D84" s="25">
        <v>3643.0</v>
      </c>
      <c r="E84" s="25">
        <v>3570.0</v>
      </c>
    </row>
    <row r="85">
      <c r="A85" s="25" t="s">
        <v>114</v>
      </c>
      <c r="B85" s="25" t="s">
        <v>111</v>
      </c>
      <c r="C85" s="25" t="s">
        <v>119</v>
      </c>
      <c r="D85" s="25">
        <v>5465.0</v>
      </c>
      <c r="E85" s="25">
        <v>4700.0</v>
      </c>
    </row>
    <row r="86">
      <c r="A86" s="25" t="s">
        <v>114</v>
      </c>
      <c r="B86" s="25" t="s">
        <v>111</v>
      </c>
      <c r="C86" s="25" t="s">
        <v>120</v>
      </c>
      <c r="D86" s="25">
        <v>0.0</v>
      </c>
      <c r="E86" s="25">
        <v>0.0</v>
      </c>
    </row>
    <row r="87">
      <c r="A87" s="25" t="s">
        <v>114</v>
      </c>
      <c r="B87" s="25" t="s">
        <v>111</v>
      </c>
      <c r="C87" s="25" t="s">
        <v>121</v>
      </c>
      <c r="D87" s="25">
        <v>0.0</v>
      </c>
      <c r="E87" s="25">
        <v>0.0</v>
      </c>
    </row>
    <row r="88">
      <c r="A88" s="25" t="s">
        <v>114</v>
      </c>
      <c r="B88" s="25" t="s">
        <v>111</v>
      </c>
      <c r="C88" s="25" t="s">
        <v>122</v>
      </c>
      <c r="D88" s="25">
        <v>1822.0</v>
      </c>
      <c r="E88" s="25">
        <v>2077.0</v>
      </c>
    </row>
    <row r="89">
      <c r="A89" s="25" t="s">
        <v>114</v>
      </c>
      <c r="B89" s="25" t="s">
        <v>111</v>
      </c>
      <c r="C89" s="25" t="s">
        <v>123</v>
      </c>
      <c r="D89" s="25">
        <v>2732.0</v>
      </c>
      <c r="E89" s="25">
        <v>3114.0</v>
      </c>
    </row>
    <row r="90">
      <c r="A90" s="25" t="s">
        <v>114</v>
      </c>
      <c r="B90" s="25" t="s">
        <v>111</v>
      </c>
      <c r="C90" s="25" t="s">
        <v>124</v>
      </c>
      <c r="D90" s="25">
        <v>3188.0</v>
      </c>
      <c r="E90" s="25">
        <v>3666.0</v>
      </c>
    </row>
    <row r="91">
      <c r="A91" s="25" t="s">
        <v>114</v>
      </c>
      <c r="B91" s="25" t="s">
        <v>111</v>
      </c>
      <c r="C91" s="25" t="s">
        <v>125</v>
      </c>
      <c r="D91" s="25">
        <v>5465.0</v>
      </c>
      <c r="E91" s="25">
        <v>5738.0</v>
      </c>
    </row>
    <row r="92">
      <c r="A92" s="25" t="s">
        <v>114</v>
      </c>
      <c r="B92" s="25" t="s">
        <v>111</v>
      </c>
      <c r="C92" s="25" t="s">
        <v>126</v>
      </c>
      <c r="D92" s="25">
        <v>4554.0</v>
      </c>
      <c r="E92" s="25">
        <v>3825.0</v>
      </c>
    </row>
    <row r="93">
      <c r="A93" s="25" t="s">
        <v>114</v>
      </c>
      <c r="B93" s="25" t="s">
        <v>111</v>
      </c>
      <c r="C93" s="25" t="s">
        <v>127</v>
      </c>
      <c r="D93" s="25">
        <v>455.0</v>
      </c>
      <c r="E93" s="25">
        <v>364.0</v>
      </c>
    </row>
    <row r="94">
      <c r="A94" s="25" t="s">
        <v>114</v>
      </c>
      <c r="B94" s="25" t="s">
        <v>111</v>
      </c>
      <c r="C94" s="25" t="s">
        <v>128</v>
      </c>
      <c r="D94" s="25">
        <v>911.0</v>
      </c>
      <c r="E94" s="25">
        <v>1020.0</v>
      </c>
    </row>
    <row r="95">
      <c r="A95" s="25" t="s">
        <v>114</v>
      </c>
      <c r="B95" s="25" t="s">
        <v>111</v>
      </c>
      <c r="C95" s="25" t="s">
        <v>129</v>
      </c>
      <c r="D95" s="25">
        <v>10930.0</v>
      </c>
      <c r="E95" s="25">
        <v>12897.0</v>
      </c>
    </row>
    <row r="96">
      <c r="A96" s="25" t="s">
        <v>130</v>
      </c>
      <c r="B96" s="25" t="s">
        <v>111</v>
      </c>
      <c r="C96" s="25" t="s">
        <v>131</v>
      </c>
      <c r="D96" s="25">
        <v>2622.0</v>
      </c>
      <c r="E96" s="25">
        <v>2491.0</v>
      </c>
    </row>
    <row r="97">
      <c r="A97" s="25" t="s">
        <v>130</v>
      </c>
      <c r="B97" s="25" t="s">
        <v>111</v>
      </c>
      <c r="C97" s="25" t="s">
        <v>132</v>
      </c>
      <c r="D97" s="25">
        <v>2185.0</v>
      </c>
      <c r="E97" s="25">
        <v>1814.0</v>
      </c>
    </row>
    <row r="98">
      <c r="A98" s="25" t="s">
        <v>130</v>
      </c>
      <c r="B98" s="25" t="s">
        <v>111</v>
      </c>
      <c r="C98" s="25" t="s">
        <v>133</v>
      </c>
      <c r="D98" s="25">
        <v>1748.0</v>
      </c>
      <c r="E98" s="25">
        <v>1835.0</v>
      </c>
    </row>
    <row r="99">
      <c r="A99" s="25" t="s">
        <v>130</v>
      </c>
      <c r="B99" s="25" t="s">
        <v>111</v>
      </c>
      <c r="C99" s="25" t="s">
        <v>134</v>
      </c>
      <c r="D99" s="25">
        <v>5243.0</v>
      </c>
      <c r="E99" s="25">
        <v>5610.0</v>
      </c>
    </row>
    <row r="100">
      <c r="A100" s="25" t="s">
        <v>130</v>
      </c>
      <c r="B100" s="25" t="s">
        <v>111</v>
      </c>
      <c r="C100" s="25" t="s">
        <v>135</v>
      </c>
      <c r="D100" s="25">
        <v>1311.0</v>
      </c>
      <c r="E100" s="25">
        <v>1337.0</v>
      </c>
    </row>
    <row r="101">
      <c r="A101" s="25" t="s">
        <v>130</v>
      </c>
      <c r="B101" s="25" t="s">
        <v>111</v>
      </c>
      <c r="C101" s="25" t="s">
        <v>136</v>
      </c>
      <c r="D101" s="25">
        <v>13109.0</v>
      </c>
      <c r="E101" s="25">
        <v>15206.0</v>
      </c>
    </row>
    <row r="102">
      <c r="A102" s="25" t="s">
        <v>130</v>
      </c>
      <c r="B102" s="25" t="s">
        <v>111</v>
      </c>
      <c r="C102" s="25" t="s">
        <v>137</v>
      </c>
      <c r="D102" s="25">
        <v>12235.0</v>
      </c>
      <c r="E102" s="25">
        <v>12357.0</v>
      </c>
    </row>
    <row r="103">
      <c r="A103" s="25" t="s">
        <v>130</v>
      </c>
      <c r="B103" s="25" t="s">
        <v>111</v>
      </c>
      <c r="C103" s="25" t="s">
        <v>138</v>
      </c>
      <c r="D103" s="25">
        <v>874.0</v>
      </c>
      <c r="E103" s="25">
        <v>1040.0</v>
      </c>
    </row>
    <row r="104">
      <c r="A104" s="25" t="s">
        <v>130</v>
      </c>
      <c r="B104" s="25" t="s">
        <v>111</v>
      </c>
      <c r="C104" s="25" t="s">
        <v>139</v>
      </c>
      <c r="D104" s="25">
        <v>437.0</v>
      </c>
      <c r="E104" s="25">
        <v>454.0</v>
      </c>
    </row>
    <row r="105">
      <c r="A105" s="25" t="s">
        <v>130</v>
      </c>
      <c r="B105" s="25" t="s">
        <v>111</v>
      </c>
      <c r="C105" s="25" t="s">
        <v>140</v>
      </c>
      <c r="D105" s="25">
        <v>437.0</v>
      </c>
      <c r="E105" s="25">
        <v>376.0</v>
      </c>
    </row>
    <row r="106">
      <c r="A106" s="25" t="s">
        <v>130</v>
      </c>
      <c r="B106" s="25" t="s">
        <v>111</v>
      </c>
      <c r="C106" s="25" t="s">
        <v>141</v>
      </c>
      <c r="D106" s="25">
        <v>0.0</v>
      </c>
      <c r="E106" s="25">
        <v>0.0</v>
      </c>
    </row>
    <row r="107">
      <c r="A107" s="25" t="s">
        <v>130</v>
      </c>
      <c r="B107" s="25" t="s">
        <v>111</v>
      </c>
      <c r="C107" s="25" t="s">
        <v>142</v>
      </c>
      <c r="D107" s="25">
        <v>1311.0</v>
      </c>
      <c r="E107" s="25">
        <v>1442.0</v>
      </c>
    </row>
    <row r="108">
      <c r="A108" s="25" t="s">
        <v>130</v>
      </c>
      <c r="B108" s="25" t="s">
        <v>111</v>
      </c>
      <c r="C108" s="25" t="s">
        <v>143</v>
      </c>
      <c r="D108" s="25">
        <v>2185.0</v>
      </c>
      <c r="E108" s="25">
        <v>2294.0</v>
      </c>
    </row>
    <row r="109">
      <c r="A109" s="25" t="s">
        <v>130</v>
      </c>
      <c r="B109" s="25" t="s">
        <v>112</v>
      </c>
      <c r="C109" s="25" t="s">
        <v>131</v>
      </c>
      <c r="D109" s="25">
        <v>0.0</v>
      </c>
      <c r="E109" s="25">
        <v>0.0</v>
      </c>
    </row>
    <row r="110">
      <c r="A110" s="25" t="s">
        <v>130</v>
      </c>
      <c r="B110" s="25" t="s">
        <v>112</v>
      </c>
      <c r="C110" s="25" t="s">
        <v>132</v>
      </c>
      <c r="D110" s="25">
        <v>0.0</v>
      </c>
      <c r="E110" s="25">
        <v>0.0</v>
      </c>
    </row>
    <row r="111">
      <c r="A111" s="25" t="s">
        <v>130</v>
      </c>
      <c r="B111" s="25" t="s">
        <v>112</v>
      </c>
      <c r="C111" s="25" t="s">
        <v>133</v>
      </c>
      <c r="D111" s="25">
        <v>2210.0</v>
      </c>
      <c r="E111" s="25">
        <v>2298.0</v>
      </c>
    </row>
    <row r="112">
      <c r="A112" s="25" t="s">
        <v>130</v>
      </c>
      <c r="B112" s="25" t="s">
        <v>112</v>
      </c>
      <c r="C112" s="25" t="s">
        <v>134</v>
      </c>
      <c r="D112" s="25">
        <v>1768.0</v>
      </c>
      <c r="E112" s="25">
        <v>1662.0</v>
      </c>
    </row>
    <row r="113">
      <c r="A113" s="25" t="s">
        <v>130</v>
      </c>
      <c r="B113" s="25" t="s">
        <v>112</v>
      </c>
      <c r="C113" s="25" t="s">
        <v>135</v>
      </c>
      <c r="D113" s="25">
        <v>1326.0</v>
      </c>
      <c r="E113" s="25">
        <v>1551.0</v>
      </c>
    </row>
    <row r="114">
      <c r="A114" s="25" t="s">
        <v>130</v>
      </c>
      <c r="B114" s="25" t="s">
        <v>112</v>
      </c>
      <c r="C114" s="25" t="s">
        <v>136</v>
      </c>
      <c r="D114" s="25">
        <v>9723.0</v>
      </c>
      <c r="E114" s="25">
        <v>9917.0</v>
      </c>
    </row>
    <row r="115">
      <c r="A115" s="25" t="s">
        <v>130</v>
      </c>
      <c r="B115" s="25" t="s">
        <v>112</v>
      </c>
      <c r="C115" s="25" t="s">
        <v>137</v>
      </c>
      <c r="D115" s="25">
        <v>0.0</v>
      </c>
      <c r="E115" s="25">
        <v>0.0</v>
      </c>
    </row>
    <row r="116">
      <c r="A116" s="25" t="s">
        <v>130</v>
      </c>
      <c r="B116" s="25" t="s">
        <v>112</v>
      </c>
      <c r="C116" s="25" t="s">
        <v>138</v>
      </c>
      <c r="D116" s="25">
        <v>884.0</v>
      </c>
      <c r="E116" s="25">
        <v>725.0</v>
      </c>
    </row>
    <row r="117">
      <c r="A117" s="25" t="s">
        <v>130</v>
      </c>
      <c r="B117" s="25" t="s">
        <v>112</v>
      </c>
      <c r="C117" s="25" t="s">
        <v>139</v>
      </c>
      <c r="D117" s="25">
        <v>11049.0</v>
      </c>
      <c r="E117" s="25">
        <v>9834.0</v>
      </c>
    </row>
    <row r="118">
      <c r="A118" s="25" t="s">
        <v>130</v>
      </c>
      <c r="B118" s="25" t="s">
        <v>112</v>
      </c>
      <c r="C118" s="25" t="s">
        <v>140</v>
      </c>
      <c r="D118" s="25">
        <v>884.0</v>
      </c>
      <c r="E118" s="25">
        <v>831.0</v>
      </c>
    </row>
    <row r="119">
      <c r="A119" s="25" t="s">
        <v>130</v>
      </c>
      <c r="B119" s="25" t="s">
        <v>112</v>
      </c>
      <c r="C119" s="25" t="s">
        <v>141</v>
      </c>
      <c r="D119" s="25">
        <v>13259.0</v>
      </c>
      <c r="E119" s="25">
        <v>12066.0</v>
      </c>
    </row>
    <row r="120">
      <c r="A120" s="25" t="s">
        <v>130</v>
      </c>
      <c r="B120" s="25" t="s">
        <v>112</v>
      </c>
      <c r="C120" s="25" t="s">
        <v>142</v>
      </c>
      <c r="D120" s="25">
        <v>884.0</v>
      </c>
      <c r="E120" s="25">
        <v>743.0</v>
      </c>
    </row>
    <row r="121">
      <c r="A121" s="25" t="s">
        <v>130</v>
      </c>
      <c r="B121" s="25" t="s">
        <v>112</v>
      </c>
      <c r="C121" s="25" t="s">
        <v>143</v>
      </c>
      <c r="D121" s="25">
        <v>2210.0</v>
      </c>
      <c r="E121" s="25">
        <v>2387.0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144</v>
      </c>
      <c r="B1" s="18"/>
      <c r="C1" s="18"/>
      <c r="D1" s="18"/>
      <c r="E1" s="18"/>
      <c r="F1" s="18"/>
    </row>
    <row r="2">
      <c r="A2" s="25" t="s">
        <v>145</v>
      </c>
    </row>
    <row r="4">
      <c r="A4" s="30" t="str">
        <f>IFERROR(__xludf.DUMMYFUNCTION("query('Raw Data'!A2:E130, ""select C, B, D where D&lt;&gt;0 and D is not null order by D desc"" , 1)"),"App")</f>
        <v>App</v>
      </c>
      <c r="B4" s="30" t="str">
        <f>IFERROR(__xludf.DUMMYFUNCTION("""COMPUTED_VALUE"""),"Region")</f>
        <v>Region</v>
      </c>
      <c r="C4" s="30" t="str">
        <f>IFERROR(__xludf.DUMMYFUNCTION("""COMPUTED_VALUE"""),"Actual Sales")</f>
        <v>Actual Sales</v>
      </c>
    </row>
    <row r="5">
      <c r="A5" s="31" t="str">
        <f>IFERROR(__xludf.DUMMYFUNCTION("""COMPUTED_VALUE"""),"Arcade")</f>
        <v>Arcade</v>
      </c>
      <c r="B5" s="31" t="str">
        <f>IFERROR(__xludf.DUMMYFUNCTION("""COMPUTED_VALUE"""),"Australia")</f>
        <v>Australia</v>
      </c>
      <c r="C5" s="31">
        <f>IFERROR(__xludf.DUMMYFUNCTION("""COMPUTED_VALUE"""),15890.0)</f>
        <v>15890</v>
      </c>
    </row>
    <row r="6">
      <c r="A6" s="31" t="str">
        <f>IFERROR(__xludf.DUMMYFUNCTION("""COMPUTED_VALUE"""),"Baden")</f>
        <v>Baden</v>
      </c>
      <c r="B6" s="31" t="str">
        <f>IFERROR(__xludf.DUMMYFUNCTION("""COMPUTED_VALUE"""),"Europe")</f>
        <v>Europe</v>
      </c>
      <c r="C6" s="31">
        <f>IFERROR(__xludf.DUMMYFUNCTION("""COMPUTED_VALUE"""),15754.0)</f>
        <v>15754</v>
      </c>
    </row>
    <row r="7">
      <c r="A7" s="31" t="str">
        <f>IFERROR(__xludf.DUMMYFUNCTION("""COMPUTED_VALUE"""),"Strex")</f>
        <v>Strex</v>
      </c>
      <c r="B7" s="31" t="str">
        <f>IFERROR(__xludf.DUMMYFUNCTION("""COMPUTED_VALUE"""),"North America")</f>
        <v>North America</v>
      </c>
      <c r="C7" s="31">
        <f>IFERROR(__xludf.DUMMYFUNCTION("""COMPUTED_VALUE"""),13259.0)</f>
        <v>13259</v>
      </c>
    </row>
    <row r="8">
      <c r="A8" s="31" t="str">
        <f>IFERROR(__xludf.DUMMYFUNCTION("""COMPUTED_VALUE"""),"WenCaL")</f>
        <v>WenCaL</v>
      </c>
      <c r="B8" s="31" t="str">
        <f>IFERROR(__xludf.DUMMYFUNCTION("""COMPUTED_VALUE"""),"Asia")</f>
        <v>Asia</v>
      </c>
      <c r="C8" s="31">
        <f>IFERROR(__xludf.DUMMYFUNCTION("""COMPUTED_VALUE"""),13174.0)</f>
        <v>13174</v>
      </c>
    </row>
    <row r="9">
      <c r="A9" s="31" t="str">
        <f>IFERROR(__xludf.DUMMYFUNCTION("""COMPUTED_VALUE"""),"Fightrr")</f>
        <v>Fightrr</v>
      </c>
      <c r="B9" s="31" t="str">
        <f>IFERROR(__xludf.DUMMYFUNCTION("""COMPUTED_VALUE"""),"Asia")</f>
        <v>Asia</v>
      </c>
      <c r="C9" s="31">
        <f>IFERROR(__xludf.DUMMYFUNCTION("""COMPUTED_VALUE"""),13135.0)</f>
        <v>13135</v>
      </c>
    </row>
    <row r="10">
      <c r="A10" s="31" t="str">
        <f>IFERROR(__xludf.DUMMYFUNCTION("""COMPUTED_VALUE"""),"Minor Liar")</f>
        <v>Minor Liar</v>
      </c>
      <c r="B10" s="31" t="str">
        <f>IFERROR(__xludf.DUMMYFUNCTION("""COMPUTED_VALUE"""),"Europe")</f>
        <v>Europe</v>
      </c>
      <c r="C10" s="31">
        <f>IFERROR(__xludf.DUMMYFUNCTION("""COMPUTED_VALUE"""),13109.0)</f>
        <v>13109</v>
      </c>
    </row>
    <row r="11">
      <c r="A11" s="31" t="str">
        <f>IFERROR(__xludf.DUMMYFUNCTION("""COMPUTED_VALUE"""),"Pes")</f>
        <v>Pes</v>
      </c>
      <c r="B11" s="31" t="str">
        <f>IFERROR(__xludf.DUMMYFUNCTION("""COMPUTED_VALUE"""),"South America")</f>
        <v>South America</v>
      </c>
      <c r="C11" s="31">
        <f>IFERROR(__xludf.DUMMYFUNCTION("""COMPUTED_VALUE"""),12771.0)</f>
        <v>12771</v>
      </c>
    </row>
    <row r="12">
      <c r="A12" s="31" t="str">
        <f>IFERROR(__xludf.DUMMYFUNCTION("""COMPUTED_VALUE"""),"Twistrr")</f>
        <v>Twistrr</v>
      </c>
      <c r="B12" s="31" t="str">
        <f>IFERROR(__xludf.DUMMYFUNCTION("""COMPUTED_VALUE"""),"South America")</f>
        <v>South America</v>
      </c>
      <c r="C12" s="31">
        <f>IFERROR(__xludf.DUMMYFUNCTION("""COMPUTED_VALUE"""),12771.0)</f>
        <v>12771</v>
      </c>
    </row>
    <row r="13">
      <c r="A13" s="31" t="str">
        <f>IFERROR(__xludf.DUMMYFUNCTION("""COMPUTED_VALUE"""),"Misty Wash")</f>
        <v>Misty Wash</v>
      </c>
      <c r="B13" s="31" t="str">
        <f>IFERROR(__xludf.DUMMYFUNCTION("""COMPUTED_VALUE"""),"Europe")</f>
        <v>Europe</v>
      </c>
      <c r="C13" s="31">
        <f>IFERROR(__xludf.DUMMYFUNCTION("""COMPUTED_VALUE"""),12235.0)</f>
        <v>12235</v>
      </c>
    </row>
    <row r="14">
      <c r="A14" s="31" t="str">
        <f>IFERROR(__xludf.DUMMYFUNCTION("""COMPUTED_VALUE"""),"Aviatrr")</f>
        <v>Aviatrr</v>
      </c>
      <c r="B14" s="31" t="str">
        <f>IFERROR(__xludf.DUMMYFUNCTION("""COMPUTED_VALUE"""),"Australia")</f>
        <v>Australia</v>
      </c>
      <c r="C14" s="31">
        <f>IFERROR(__xludf.DUMMYFUNCTION("""COMPUTED_VALUE"""),11917.0)</f>
        <v>11917</v>
      </c>
    </row>
    <row r="15">
      <c r="A15" s="31" t="str">
        <f>IFERROR(__xludf.DUMMYFUNCTION("""COMPUTED_VALUE"""),"Motocyco")</f>
        <v>Motocyco</v>
      </c>
      <c r="B15" s="31" t="str">
        <f>IFERROR(__xludf.DUMMYFUNCTION("""COMPUTED_VALUE"""),"North America")</f>
        <v>North America</v>
      </c>
      <c r="C15" s="31">
        <f>IFERROR(__xludf.DUMMYFUNCTION("""COMPUTED_VALUE"""),11049.0)</f>
        <v>11049</v>
      </c>
    </row>
    <row r="16">
      <c r="A16" s="31" t="str">
        <f>IFERROR(__xludf.DUMMYFUNCTION("""COMPUTED_VALUE"""),"WenCaL")</f>
        <v>WenCaL</v>
      </c>
      <c r="B16" s="31" t="str">
        <f>IFERROR(__xludf.DUMMYFUNCTION("""COMPUTED_VALUE"""),"Europe")</f>
        <v>Europe</v>
      </c>
      <c r="C16" s="31">
        <f>IFERROR(__xludf.DUMMYFUNCTION("""COMPUTED_VALUE"""),10930.0)</f>
        <v>10930</v>
      </c>
    </row>
    <row r="17">
      <c r="A17" s="31" t="str">
        <f>IFERROR(__xludf.DUMMYFUNCTION("""COMPUTED_VALUE"""),"Aviatrr")</f>
        <v>Aviatrr</v>
      </c>
      <c r="B17" s="31" t="str">
        <f>IFERROR(__xludf.DUMMYFUNCTION("""COMPUTED_VALUE"""),"Europe")</f>
        <v>Europe</v>
      </c>
      <c r="C17" s="31">
        <f>IFERROR(__xludf.DUMMYFUNCTION("""COMPUTED_VALUE"""),9731.0)</f>
        <v>9731</v>
      </c>
    </row>
    <row r="18">
      <c r="A18" s="31" t="str">
        <f>IFERROR(__xludf.DUMMYFUNCTION("""COMPUTED_VALUE"""),"Minor Liar")</f>
        <v>Minor Liar</v>
      </c>
      <c r="B18" s="31" t="str">
        <f>IFERROR(__xludf.DUMMYFUNCTION("""COMPUTED_VALUE"""),"North America")</f>
        <v>North America</v>
      </c>
      <c r="C18" s="31">
        <f>IFERROR(__xludf.DUMMYFUNCTION("""COMPUTED_VALUE"""),9723.0)</f>
        <v>9723</v>
      </c>
    </row>
    <row r="19">
      <c r="A19" s="31" t="str">
        <f>IFERROR(__xludf.DUMMYFUNCTION("""COMPUTED_VALUE"""),"Arcade")</f>
        <v>Arcade</v>
      </c>
      <c r="B19" s="31" t="str">
        <f>IFERROR(__xludf.DUMMYFUNCTION("""COMPUTED_VALUE"""),"Europe")</f>
        <v>Europe</v>
      </c>
      <c r="C19" s="31">
        <f>IFERROR(__xludf.DUMMYFUNCTION("""COMPUTED_VALUE"""),9267.0)</f>
        <v>9267</v>
      </c>
    </row>
    <row r="20">
      <c r="A20" s="31" t="str">
        <f>IFERROR(__xludf.DUMMYFUNCTION("""COMPUTED_VALUE"""),"Hackrr")</f>
        <v>Hackrr</v>
      </c>
      <c r="B20" s="31" t="str">
        <f>IFERROR(__xludf.DUMMYFUNCTION("""COMPUTED_VALUE"""),"South America")</f>
        <v>South America</v>
      </c>
      <c r="C20" s="31">
        <f>IFERROR(__xludf.DUMMYFUNCTION("""COMPUTED_VALUE"""),8514.0)</f>
        <v>8514</v>
      </c>
    </row>
    <row r="21">
      <c r="A21" s="31" t="str">
        <f>IFERROR(__xludf.DUMMYFUNCTION("""COMPUTED_VALUE"""),"Fightrr")</f>
        <v>Fightrr</v>
      </c>
      <c r="B21" s="31" t="str">
        <f>IFERROR(__xludf.DUMMYFUNCTION("""COMPUTED_VALUE"""),"North America")</f>
        <v>North America</v>
      </c>
      <c r="C21" s="31">
        <f>IFERROR(__xludf.DUMMYFUNCTION("""COMPUTED_VALUE"""),8042.0)</f>
        <v>8042</v>
      </c>
    </row>
    <row r="22">
      <c r="A22" s="31" t="str">
        <f>IFERROR(__xludf.DUMMYFUNCTION("""COMPUTED_VALUE"""),"Pet Feed")</f>
        <v>Pet Feed</v>
      </c>
      <c r="B22" s="31" t="str">
        <f>IFERROR(__xludf.DUMMYFUNCTION("""COMPUTED_VALUE"""),"Australia")</f>
        <v>Australia</v>
      </c>
      <c r="C22" s="31">
        <f>IFERROR(__xludf.DUMMYFUNCTION("""COMPUTED_VALUE"""),7612.0)</f>
        <v>7612</v>
      </c>
    </row>
    <row r="23">
      <c r="A23" s="31" t="str">
        <f>IFERROR(__xludf.DUMMYFUNCTION("""COMPUTED_VALUE"""),"deRamblr")</f>
        <v>deRamblr</v>
      </c>
      <c r="B23" s="31" t="str">
        <f>IFERROR(__xludf.DUMMYFUNCTION("""COMPUTED_VALUE"""),"Asia")</f>
        <v>Asia</v>
      </c>
      <c r="C23" s="31">
        <f>IFERROR(__xludf.DUMMYFUNCTION("""COMPUTED_VALUE"""),7443.0)</f>
        <v>7443</v>
      </c>
    </row>
    <row r="24">
      <c r="A24" s="31" t="str">
        <f>IFERROR(__xludf.DUMMYFUNCTION("""COMPUTED_VALUE"""),"Twistrr")</f>
        <v>Twistrr</v>
      </c>
      <c r="B24" s="31" t="str">
        <f>IFERROR(__xludf.DUMMYFUNCTION("""COMPUTED_VALUE"""),"Asia")</f>
        <v>Asia</v>
      </c>
      <c r="C24" s="31">
        <f>IFERROR(__xludf.DUMMYFUNCTION("""COMPUTED_VALUE"""),7443.0)</f>
        <v>7443</v>
      </c>
    </row>
    <row r="25">
      <c r="A25" s="31" t="str">
        <f>IFERROR(__xludf.DUMMYFUNCTION("""COMPUTED_VALUE"""),"deRamblr")</f>
        <v>deRamblr</v>
      </c>
      <c r="B25" s="31" t="str">
        <f>IFERROR(__xludf.DUMMYFUNCTION("""COMPUTED_VALUE"""),"North America")</f>
        <v>North America</v>
      </c>
      <c r="C25" s="31">
        <f>IFERROR(__xludf.DUMMYFUNCTION("""COMPUTED_VALUE"""),7148.0)</f>
        <v>7148</v>
      </c>
    </row>
    <row r="26">
      <c r="A26" s="31" t="str">
        <f>IFERROR(__xludf.DUMMYFUNCTION("""COMPUTED_VALUE"""),"Rehire")</f>
        <v>Rehire</v>
      </c>
      <c r="B26" s="31" t="str">
        <f>IFERROR(__xludf.DUMMYFUNCTION("""COMPUTED_VALUE"""),"Australia")</f>
        <v>Australia</v>
      </c>
      <c r="C26" s="31">
        <f>IFERROR(__xludf.DUMMYFUNCTION("""COMPUTED_VALUE"""),6734.0)</f>
        <v>6734</v>
      </c>
    </row>
    <row r="27">
      <c r="A27" s="31" t="str">
        <f>IFERROR(__xludf.DUMMYFUNCTION("""COMPUTED_VALUE"""),"Baden")</f>
        <v>Baden</v>
      </c>
      <c r="B27" s="31" t="str">
        <f>IFERROR(__xludf.DUMMYFUNCTION("""COMPUTED_VALUE"""),"North America")</f>
        <v>North America</v>
      </c>
      <c r="C27" s="31">
        <f>IFERROR(__xludf.DUMMYFUNCTION("""COMPUTED_VALUE"""),6701.0)</f>
        <v>6701</v>
      </c>
    </row>
    <row r="28">
      <c r="A28" s="31" t="str">
        <f>IFERROR(__xludf.DUMMYFUNCTION("""COMPUTED_VALUE"""),"WenCaL")</f>
        <v>WenCaL</v>
      </c>
      <c r="B28" s="31" t="str">
        <f>IFERROR(__xludf.DUMMYFUNCTION("""COMPUTED_VALUE"""),"Australia")</f>
        <v>Australia</v>
      </c>
      <c r="C28" s="31">
        <f>IFERROR(__xludf.DUMMYFUNCTION("""COMPUTED_VALUE"""),6441.0)</f>
        <v>6441</v>
      </c>
    </row>
    <row r="29">
      <c r="A29" s="31" t="str">
        <f>IFERROR(__xludf.DUMMYFUNCTION("""COMPUTED_VALUE"""),"Baden")</f>
        <v>Baden</v>
      </c>
      <c r="B29" s="31" t="str">
        <f>IFERROR(__xludf.DUMMYFUNCTION("""COMPUTED_VALUE"""),"Asia")</f>
        <v>Asia</v>
      </c>
      <c r="C29" s="31">
        <f>IFERROR(__xludf.DUMMYFUNCTION("""COMPUTED_VALUE"""),6130.0)</f>
        <v>6130</v>
      </c>
    </row>
    <row r="30">
      <c r="A30" s="31" t="str">
        <f>IFERROR(__xludf.DUMMYFUNCTION("""COMPUTED_VALUE"""),"Aviatrr")</f>
        <v>Aviatrr</v>
      </c>
      <c r="B30" s="31" t="str">
        <f>IFERROR(__xludf.DUMMYFUNCTION("""COMPUTED_VALUE"""),"North America")</f>
        <v>North America</v>
      </c>
      <c r="C30" s="31">
        <f>IFERROR(__xludf.DUMMYFUNCTION("""COMPUTED_VALUE"""),5808.0)</f>
        <v>5808</v>
      </c>
    </row>
    <row r="31">
      <c r="A31" s="31" t="str">
        <f>IFERROR(__xludf.DUMMYFUNCTION("""COMPUTED_VALUE"""),"Halotot")</f>
        <v>Halotot</v>
      </c>
      <c r="B31" s="31" t="str">
        <f>IFERROR(__xludf.DUMMYFUNCTION("""COMPUTED_VALUE"""),"Europe")</f>
        <v>Europe</v>
      </c>
      <c r="C31" s="31">
        <f>IFERROR(__xludf.DUMMYFUNCTION("""COMPUTED_VALUE"""),5465.0)</f>
        <v>5465</v>
      </c>
    </row>
    <row r="32">
      <c r="A32" s="31" t="str">
        <f>IFERROR(__xludf.DUMMYFUNCTION("""COMPUTED_VALUE"""),"Right App")</f>
        <v>Right App</v>
      </c>
      <c r="B32" s="31" t="str">
        <f>IFERROR(__xludf.DUMMYFUNCTION("""COMPUTED_VALUE"""),"Europe")</f>
        <v>Europe</v>
      </c>
      <c r="C32" s="31">
        <f>IFERROR(__xludf.DUMMYFUNCTION("""COMPUTED_VALUE"""),5465.0)</f>
        <v>5465</v>
      </c>
    </row>
    <row r="33">
      <c r="A33" s="31" t="str">
        <f>IFERROR(__xludf.DUMMYFUNCTION("""COMPUTED_VALUE"""),"Arcade")</f>
        <v>Arcade</v>
      </c>
      <c r="B33" s="31" t="str">
        <f>IFERROR(__xludf.DUMMYFUNCTION("""COMPUTED_VALUE"""),"North America")</f>
        <v>North America</v>
      </c>
      <c r="C33" s="31">
        <f>IFERROR(__xludf.DUMMYFUNCTION("""COMPUTED_VALUE"""),5361.0)</f>
        <v>5361</v>
      </c>
    </row>
    <row r="34">
      <c r="A34" s="31" t="str">
        <f>IFERROR(__xludf.DUMMYFUNCTION("""COMPUTED_VALUE"""),"Aviatrr")</f>
        <v>Aviatrr</v>
      </c>
      <c r="B34" s="31" t="str">
        <f>IFERROR(__xludf.DUMMYFUNCTION("""COMPUTED_VALUE"""),"Asia")</f>
        <v>Asia</v>
      </c>
      <c r="C34" s="31">
        <f>IFERROR(__xludf.DUMMYFUNCTION("""COMPUTED_VALUE"""),5254.0)</f>
        <v>5254</v>
      </c>
    </row>
    <row r="35">
      <c r="A35" s="31" t="str">
        <f>IFERROR(__xludf.DUMMYFUNCTION("""COMPUTED_VALUE"""),"Commuta")</f>
        <v>Commuta</v>
      </c>
      <c r="B35" s="31" t="str">
        <f>IFERROR(__xludf.DUMMYFUNCTION("""COMPUTED_VALUE"""),"Europe")</f>
        <v>Europe</v>
      </c>
      <c r="C35" s="31">
        <f>IFERROR(__xludf.DUMMYFUNCTION("""COMPUTED_VALUE"""),5243.0)</f>
        <v>5243</v>
      </c>
    </row>
    <row r="36">
      <c r="A36" s="31" t="str">
        <f>IFERROR(__xludf.DUMMYFUNCTION("""COMPUTED_VALUE"""),"Arcade")</f>
        <v>Arcade</v>
      </c>
      <c r="B36" s="31" t="str">
        <f>IFERROR(__xludf.DUMMYFUNCTION("""COMPUTED_VALUE"""),"South America")</f>
        <v>South America</v>
      </c>
      <c r="C36" s="31">
        <f>IFERROR(__xludf.DUMMYFUNCTION("""COMPUTED_VALUE"""),5108.0)</f>
        <v>5108</v>
      </c>
    </row>
    <row r="37">
      <c r="A37" s="31" t="str">
        <f>IFERROR(__xludf.DUMMYFUNCTION("""COMPUTED_VALUE"""),"Mirrrr")</f>
        <v>Mirrrr</v>
      </c>
      <c r="B37" s="31" t="str">
        <f>IFERROR(__xludf.DUMMYFUNCTION("""COMPUTED_VALUE"""),"Australia")</f>
        <v>Australia</v>
      </c>
      <c r="C37" s="31">
        <f>IFERROR(__xludf.DUMMYFUNCTION("""COMPUTED_VALUE"""),4977.0)</f>
        <v>4977</v>
      </c>
    </row>
    <row r="38">
      <c r="A38" s="31" t="str">
        <f>IFERROR(__xludf.DUMMYFUNCTION("""COMPUTED_VALUE"""),"Silvrr")</f>
        <v>Silvrr</v>
      </c>
      <c r="B38" s="31" t="str">
        <f>IFERROR(__xludf.DUMMYFUNCTION("""COMPUTED_VALUE"""),"Europe")</f>
        <v>Europe</v>
      </c>
      <c r="C38" s="31">
        <f>IFERROR(__xludf.DUMMYFUNCTION("""COMPUTED_VALUE"""),4554.0)</f>
        <v>4554</v>
      </c>
    </row>
    <row r="39">
      <c r="A39" s="31" t="str">
        <f>IFERROR(__xludf.DUMMYFUNCTION("""COMPUTED_VALUE"""),"Kryptis")</f>
        <v>Kryptis</v>
      </c>
      <c r="B39" s="31" t="str">
        <f>IFERROR(__xludf.DUMMYFUNCTION("""COMPUTED_VALUE"""),"Australia")</f>
        <v>Australia</v>
      </c>
      <c r="C39" s="31">
        <f>IFERROR(__xludf.DUMMYFUNCTION("""COMPUTED_VALUE"""),4469.0)</f>
        <v>4469</v>
      </c>
    </row>
    <row r="40">
      <c r="A40" s="31" t="str">
        <f>IFERROR(__xludf.DUMMYFUNCTION("""COMPUTED_VALUE"""),"Pes")</f>
        <v>Pes</v>
      </c>
      <c r="B40" s="31" t="str">
        <f>IFERROR(__xludf.DUMMYFUNCTION("""COMPUTED_VALUE"""),"North America")</f>
        <v>North America</v>
      </c>
      <c r="C40" s="31">
        <f>IFERROR(__xludf.DUMMYFUNCTION("""COMPUTED_VALUE"""),4468.0)</f>
        <v>4468</v>
      </c>
    </row>
    <row r="41">
      <c r="A41" s="31" t="str">
        <f>IFERROR(__xludf.DUMMYFUNCTION("""COMPUTED_VALUE"""),"Arcade")</f>
        <v>Arcade</v>
      </c>
      <c r="B41" s="31" t="str">
        <f>IFERROR(__xludf.DUMMYFUNCTION("""COMPUTED_VALUE"""),"Asia")</f>
        <v>Asia</v>
      </c>
      <c r="C41" s="31">
        <f>IFERROR(__xludf.DUMMYFUNCTION("""COMPUTED_VALUE"""),4378.0)</f>
        <v>4378</v>
      </c>
    </row>
    <row r="42">
      <c r="A42" s="31" t="str">
        <f>IFERROR(__xludf.DUMMYFUNCTION("""COMPUTED_VALUE"""),"Jellyfish")</f>
        <v>Jellyfish</v>
      </c>
      <c r="B42" s="31" t="str">
        <f>IFERROR(__xludf.DUMMYFUNCTION("""COMPUTED_VALUE"""),"Australia")</f>
        <v>Australia</v>
      </c>
      <c r="C42" s="31">
        <f>IFERROR(__xludf.DUMMYFUNCTION("""COMPUTED_VALUE"""),3972.0)</f>
        <v>3972</v>
      </c>
    </row>
    <row r="43">
      <c r="A43" s="31" t="str">
        <f>IFERROR(__xludf.DUMMYFUNCTION("""COMPUTED_VALUE"""),"Flowrrr")</f>
        <v>Flowrrr</v>
      </c>
      <c r="B43" s="31" t="str">
        <f>IFERROR(__xludf.DUMMYFUNCTION("""COMPUTED_VALUE"""),"Europe")</f>
        <v>Europe</v>
      </c>
      <c r="C43" s="31">
        <f>IFERROR(__xludf.DUMMYFUNCTION("""COMPUTED_VALUE"""),3643.0)</f>
        <v>3643</v>
      </c>
    </row>
    <row r="44">
      <c r="A44" s="31" t="str">
        <f>IFERROR(__xludf.DUMMYFUNCTION("""COMPUTED_VALUE"""),"Halotot")</f>
        <v>Halotot</v>
      </c>
      <c r="B44" s="31" t="str">
        <f>IFERROR(__xludf.DUMMYFUNCTION("""COMPUTED_VALUE"""),"Asia")</f>
        <v>Asia</v>
      </c>
      <c r="C44" s="31">
        <f>IFERROR(__xludf.DUMMYFUNCTION("""COMPUTED_VALUE"""),3513.0)</f>
        <v>3513</v>
      </c>
    </row>
    <row r="45">
      <c r="A45" s="31" t="str">
        <f>IFERROR(__xludf.DUMMYFUNCTION("""COMPUTED_VALUE"""),"Mirrrr")</f>
        <v>Mirrrr</v>
      </c>
      <c r="B45" s="31" t="str">
        <f>IFERROR(__xludf.DUMMYFUNCTION("""COMPUTED_VALUE"""),"Asia")</f>
        <v>Asia</v>
      </c>
      <c r="C45" s="31">
        <f>IFERROR(__xludf.DUMMYFUNCTION("""COMPUTED_VALUE"""),3513.0)</f>
        <v>3513</v>
      </c>
    </row>
    <row r="46">
      <c r="A46" s="31" t="str">
        <f>IFERROR(__xludf.DUMMYFUNCTION("""COMPUTED_VALUE"""),"Voltage")</f>
        <v>Voltage</v>
      </c>
      <c r="B46" s="31" t="str">
        <f>IFERROR(__xludf.DUMMYFUNCTION("""COMPUTED_VALUE"""),"Asia")</f>
        <v>Asia</v>
      </c>
      <c r="C46" s="31">
        <f>IFERROR(__xludf.DUMMYFUNCTION("""COMPUTED_VALUE"""),3513.0)</f>
        <v>3513</v>
      </c>
    </row>
    <row r="47">
      <c r="A47" s="31" t="str">
        <f>IFERROR(__xludf.DUMMYFUNCTION("""COMPUTED_VALUE"""),"Twistrr")</f>
        <v>Twistrr</v>
      </c>
      <c r="B47" s="31" t="str">
        <f>IFERROR(__xludf.DUMMYFUNCTION("""COMPUTED_VALUE"""),"Australia")</f>
        <v>Australia</v>
      </c>
      <c r="C47" s="31">
        <f>IFERROR(__xludf.DUMMYFUNCTION("""COMPUTED_VALUE"""),3476.0)</f>
        <v>3476</v>
      </c>
    </row>
    <row r="48">
      <c r="A48" s="31" t="str">
        <f>IFERROR(__xludf.DUMMYFUNCTION("""COMPUTED_VALUE"""),"Didactic")</f>
        <v>Didactic</v>
      </c>
      <c r="B48" s="31" t="str">
        <f>IFERROR(__xludf.DUMMYFUNCTION("""COMPUTED_VALUE"""),"Europe")</f>
        <v>Europe</v>
      </c>
      <c r="C48" s="31">
        <f>IFERROR(__xludf.DUMMYFUNCTION("""COMPUTED_VALUE"""),3188.0)</f>
        <v>3188</v>
      </c>
    </row>
    <row r="49">
      <c r="A49" s="31" t="str">
        <f>IFERROR(__xludf.DUMMYFUNCTION("""COMPUTED_VALUE"""),"Rehire")</f>
        <v>Rehire</v>
      </c>
      <c r="B49" s="31" t="str">
        <f>IFERROR(__xludf.DUMMYFUNCTION("""COMPUTED_VALUE"""),"Europe")</f>
        <v>Europe</v>
      </c>
      <c r="C49" s="31">
        <f>IFERROR(__xludf.DUMMYFUNCTION("""COMPUTED_VALUE"""),3188.0)</f>
        <v>3188</v>
      </c>
    </row>
    <row r="50">
      <c r="A50" s="31" t="str">
        <f>IFERROR(__xludf.DUMMYFUNCTION("""COMPUTED_VALUE"""),"Hackrr")</f>
        <v>Hackrr</v>
      </c>
      <c r="B50" s="31" t="str">
        <f>IFERROR(__xludf.DUMMYFUNCTION("""COMPUTED_VALUE"""),"Australia")</f>
        <v>Australia</v>
      </c>
      <c r="C50" s="31">
        <f>IFERROR(__xludf.DUMMYFUNCTION("""COMPUTED_VALUE"""),2979.0)</f>
        <v>2979</v>
      </c>
    </row>
    <row r="51">
      <c r="A51" s="31" t="str">
        <f>IFERROR(__xludf.DUMMYFUNCTION("""COMPUTED_VALUE"""),"Inkly")</f>
        <v>Inkly</v>
      </c>
      <c r="B51" s="31" t="str">
        <f>IFERROR(__xludf.DUMMYFUNCTION("""COMPUTED_VALUE"""),"Asia")</f>
        <v>Asia</v>
      </c>
      <c r="C51" s="31">
        <f>IFERROR(__xludf.DUMMYFUNCTION("""COMPUTED_VALUE"""),2928.0)</f>
        <v>2928</v>
      </c>
    </row>
    <row r="52">
      <c r="A52" s="31" t="str">
        <f>IFERROR(__xludf.DUMMYFUNCTION("""COMPUTED_VALUE"""),"Pet Feed")</f>
        <v>Pet Feed</v>
      </c>
      <c r="B52" s="31" t="str">
        <f>IFERROR(__xludf.DUMMYFUNCTION("""COMPUTED_VALUE"""),"Europe")</f>
        <v>Europe</v>
      </c>
      <c r="C52" s="31">
        <f>IFERROR(__xludf.DUMMYFUNCTION("""COMPUTED_VALUE"""),2732.0)</f>
        <v>2732</v>
      </c>
    </row>
    <row r="53">
      <c r="A53" s="31" t="str">
        <f>IFERROR(__xludf.DUMMYFUNCTION("""COMPUTED_VALUE"""),"Accord")</f>
        <v>Accord</v>
      </c>
      <c r="B53" s="31" t="str">
        <f>IFERROR(__xludf.DUMMYFUNCTION("""COMPUTED_VALUE"""),"Europe")</f>
        <v>Europe</v>
      </c>
      <c r="C53" s="31">
        <f>IFERROR(__xludf.DUMMYFUNCTION("""COMPUTED_VALUE"""),2622.0)</f>
        <v>2622</v>
      </c>
    </row>
    <row r="54">
      <c r="A54" s="31" t="str">
        <f>IFERROR(__xludf.DUMMYFUNCTION("""COMPUTED_VALUE"""),"Five Labs")</f>
        <v>Five Labs</v>
      </c>
      <c r="B54" s="31" t="str">
        <f>IFERROR(__xludf.DUMMYFUNCTION("""COMPUTED_VALUE"""),"South America")</f>
        <v>South America</v>
      </c>
      <c r="C54" s="31">
        <f>IFERROR(__xludf.DUMMYFUNCTION("""COMPUTED_VALUE"""),2554.0)</f>
        <v>2554</v>
      </c>
    </row>
    <row r="55">
      <c r="A55" s="31" t="str">
        <f>IFERROR(__xludf.DUMMYFUNCTION("""COMPUTED_VALUE"""),"Five Labs")</f>
        <v>Five Labs</v>
      </c>
      <c r="B55" s="31" t="str">
        <f>IFERROR(__xludf.DUMMYFUNCTION("""COMPUTED_VALUE"""),"Australia")</f>
        <v>Australia</v>
      </c>
      <c r="C55" s="31">
        <f>IFERROR(__xludf.DUMMYFUNCTION("""COMPUTED_VALUE"""),2483.0)</f>
        <v>2483</v>
      </c>
    </row>
    <row r="56">
      <c r="A56" s="31" t="str">
        <f>IFERROR(__xludf.DUMMYFUNCTION("""COMPUTED_VALUE"""),"Kind Ape")</f>
        <v>Kind Ape</v>
      </c>
      <c r="B56" s="31" t="str">
        <f>IFERROR(__xludf.DUMMYFUNCTION("""COMPUTED_VALUE"""),"Australia")</f>
        <v>Australia</v>
      </c>
      <c r="C56" s="31">
        <f>IFERROR(__xludf.DUMMYFUNCTION("""COMPUTED_VALUE"""),2342.0)</f>
        <v>2342</v>
      </c>
    </row>
    <row r="57">
      <c r="A57" s="31" t="str">
        <f>IFERROR(__xludf.DUMMYFUNCTION("""COMPUTED_VALUE"""),"Hackrr")</f>
        <v>Hackrr</v>
      </c>
      <c r="B57" s="31" t="str">
        <f>IFERROR(__xludf.DUMMYFUNCTION("""COMPUTED_VALUE"""),"Europe")</f>
        <v>Europe</v>
      </c>
      <c r="C57" s="31">
        <f>IFERROR(__xludf.DUMMYFUNCTION("""COMPUTED_VALUE"""),2317.0)</f>
        <v>2317</v>
      </c>
    </row>
    <row r="58">
      <c r="A58" s="31" t="str">
        <f>IFERROR(__xludf.DUMMYFUNCTION("""COMPUTED_VALUE"""),"Twistrr")</f>
        <v>Twistrr</v>
      </c>
      <c r="B58" s="31" t="str">
        <f>IFERROR(__xludf.DUMMYFUNCTION("""COMPUTED_VALUE"""),"Europe")</f>
        <v>Europe</v>
      </c>
      <c r="C58" s="31">
        <f>IFERROR(__xludf.DUMMYFUNCTION("""COMPUTED_VALUE"""),2317.0)</f>
        <v>2317</v>
      </c>
    </row>
    <row r="59">
      <c r="A59" s="31" t="str">
        <f>IFERROR(__xludf.DUMMYFUNCTION("""COMPUTED_VALUE"""),"Dasring")</f>
        <v>Dasring</v>
      </c>
      <c r="B59" s="31" t="str">
        <f>IFERROR(__xludf.DUMMYFUNCTION("""COMPUTED_VALUE"""),"Europe")</f>
        <v>Europe</v>
      </c>
      <c r="C59" s="31">
        <f>IFERROR(__xludf.DUMMYFUNCTION("""COMPUTED_VALUE"""),2277.0)</f>
        <v>2277</v>
      </c>
    </row>
    <row r="60">
      <c r="A60" s="31" t="str">
        <f>IFERROR(__xludf.DUMMYFUNCTION("""COMPUTED_VALUE"""),"Atmos")</f>
        <v>Atmos</v>
      </c>
      <c r="B60" s="31" t="str">
        <f>IFERROR(__xludf.DUMMYFUNCTION("""COMPUTED_VALUE"""),"North America")</f>
        <v>North America</v>
      </c>
      <c r="C60" s="31">
        <f>IFERROR(__xludf.DUMMYFUNCTION("""COMPUTED_VALUE"""),2210.0)</f>
        <v>2210</v>
      </c>
    </row>
    <row r="61">
      <c r="A61" s="31" t="str">
        <f>IFERROR(__xludf.DUMMYFUNCTION("""COMPUTED_VALUE"""),"Twenty20")</f>
        <v>Twenty20</v>
      </c>
      <c r="B61" s="31" t="str">
        <f>IFERROR(__xludf.DUMMYFUNCTION("""COMPUTED_VALUE"""),"North America")</f>
        <v>North America</v>
      </c>
      <c r="C61" s="31">
        <f>IFERROR(__xludf.DUMMYFUNCTION("""COMPUTED_VALUE"""),2210.0)</f>
        <v>2210</v>
      </c>
    </row>
    <row r="62">
      <c r="A62" s="31" t="str">
        <f>IFERROR(__xludf.DUMMYFUNCTION("""COMPUTED_VALUE"""),"Amplefio")</f>
        <v>Amplefio</v>
      </c>
      <c r="B62" s="31" t="str">
        <f>IFERROR(__xludf.DUMMYFUNCTION("""COMPUTED_VALUE"""),"Europe")</f>
        <v>Europe</v>
      </c>
      <c r="C62" s="31">
        <f>IFERROR(__xludf.DUMMYFUNCTION("""COMPUTED_VALUE"""),2185.0)</f>
        <v>2185</v>
      </c>
    </row>
    <row r="63">
      <c r="A63" s="31" t="str">
        <f>IFERROR(__xludf.DUMMYFUNCTION("""COMPUTED_VALUE"""),"Twenty20")</f>
        <v>Twenty20</v>
      </c>
      <c r="B63" s="31" t="str">
        <f>IFERROR(__xludf.DUMMYFUNCTION("""COMPUTED_VALUE"""),"Europe")</f>
        <v>Europe</v>
      </c>
      <c r="C63" s="31">
        <f>IFERROR(__xludf.DUMMYFUNCTION("""COMPUTED_VALUE"""),2185.0)</f>
        <v>2185</v>
      </c>
    </row>
    <row r="64">
      <c r="A64" s="31" t="str">
        <f>IFERROR(__xludf.DUMMYFUNCTION("""COMPUTED_VALUE"""),"Five Labs")</f>
        <v>Five Labs</v>
      </c>
      <c r="B64" s="31" t="str">
        <f>IFERROR(__xludf.DUMMYFUNCTION("""COMPUTED_VALUE"""),"Europe")</f>
        <v>Europe</v>
      </c>
      <c r="C64" s="31">
        <f>IFERROR(__xludf.DUMMYFUNCTION("""COMPUTED_VALUE"""),1853.0)</f>
        <v>1853</v>
      </c>
    </row>
    <row r="65">
      <c r="A65" s="31" t="str">
        <f>IFERROR(__xludf.DUMMYFUNCTION("""COMPUTED_VALUE"""),"Mirrrr")</f>
        <v>Mirrrr</v>
      </c>
      <c r="B65" s="31" t="str">
        <f>IFERROR(__xludf.DUMMYFUNCTION("""COMPUTED_VALUE"""),"Europe")</f>
        <v>Europe</v>
      </c>
      <c r="C65" s="31">
        <f>IFERROR(__xludf.DUMMYFUNCTION("""COMPUTED_VALUE"""),1822.0)</f>
        <v>1822</v>
      </c>
    </row>
    <row r="66">
      <c r="A66" s="31" t="str">
        <f>IFERROR(__xludf.DUMMYFUNCTION("""COMPUTED_VALUE"""),"Kryptis")</f>
        <v>Kryptis</v>
      </c>
      <c r="B66" s="31" t="str">
        <f>IFERROR(__xludf.DUMMYFUNCTION("""COMPUTED_VALUE"""),"North America")</f>
        <v>North America</v>
      </c>
      <c r="C66" s="31">
        <f>IFERROR(__xludf.DUMMYFUNCTION("""COMPUTED_VALUE"""),1787.0)</f>
        <v>1787</v>
      </c>
    </row>
    <row r="67">
      <c r="A67" s="31" t="str">
        <f>IFERROR(__xludf.DUMMYFUNCTION("""COMPUTED_VALUE"""),"Commuta")</f>
        <v>Commuta</v>
      </c>
      <c r="B67" s="31" t="str">
        <f>IFERROR(__xludf.DUMMYFUNCTION("""COMPUTED_VALUE"""),"North America")</f>
        <v>North America</v>
      </c>
      <c r="C67" s="31">
        <f>IFERROR(__xludf.DUMMYFUNCTION("""COMPUTED_VALUE"""),1768.0)</f>
        <v>1768</v>
      </c>
    </row>
    <row r="68">
      <c r="A68" s="31" t="str">
        <f>IFERROR(__xludf.DUMMYFUNCTION("""COMPUTED_VALUE"""),"Kind Ape")</f>
        <v>Kind Ape</v>
      </c>
      <c r="B68" s="31" t="str">
        <f>IFERROR(__xludf.DUMMYFUNCTION("""COMPUTED_VALUE"""),"Asia")</f>
        <v>Asia</v>
      </c>
      <c r="C68" s="31">
        <f>IFERROR(__xludf.DUMMYFUNCTION("""COMPUTED_VALUE"""),1757.0)</f>
        <v>1757</v>
      </c>
    </row>
    <row r="69">
      <c r="A69" s="31" t="str">
        <f>IFERROR(__xludf.DUMMYFUNCTION("""COMPUTED_VALUE"""),"Atmos")</f>
        <v>Atmos</v>
      </c>
      <c r="B69" s="31" t="str">
        <f>IFERROR(__xludf.DUMMYFUNCTION("""COMPUTED_VALUE"""),"Europe")</f>
        <v>Europe</v>
      </c>
      <c r="C69" s="31">
        <f>IFERROR(__xludf.DUMMYFUNCTION("""COMPUTED_VALUE"""),1748.0)</f>
        <v>1748</v>
      </c>
    </row>
    <row r="70">
      <c r="A70" s="31" t="str">
        <f>IFERROR(__xludf.DUMMYFUNCTION("""COMPUTED_VALUE"""),"Baden")</f>
        <v>Baden</v>
      </c>
      <c r="B70" s="31" t="str">
        <f>IFERROR(__xludf.DUMMYFUNCTION("""COMPUTED_VALUE"""),"Australia")</f>
        <v>Australia</v>
      </c>
      <c r="C70" s="31">
        <f>IFERROR(__xludf.DUMMYFUNCTION("""COMPUTED_VALUE"""),1490.0)</f>
        <v>1490</v>
      </c>
    </row>
    <row r="71">
      <c r="A71" s="31" t="str">
        <f>IFERROR(__xludf.DUMMYFUNCTION("""COMPUTED_VALUE"""),"Fightrr")</f>
        <v>Fightrr</v>
      </c>
      <c r="B71" s="31" t="str">
        <f>IFERROR(__xludf.DUMMYFUNCTION("""COMPUTED_VALUE"""),"Europe")</f>
        <v>Europe</v>
      </c>
      <c r="C71" s="31">
        <f>IFERROR(__xludf.DUMMYFUNCTION("""COMPUTED_VALUE"""),1390.0)</f>
        <v>1390</v>
      </c>
    </row>
    <row r="72">
      <c r="A72" s="31" t="str">
        <f>IFERROR(__xludf.DUMMYFUNCTION("""COMPUTED_VALUE"""),"Jellyfish")</f>
        <v>Jellyfish</v>
      </c>
      <c r="B72" s="31" t="str">
        <f>IFERROR(__xludf.DUMMYFUNCTION("""COMPUTED_VALUE"""),"North America")</f>
        <v>North America</v>
      </c>
      <c r="C72" s="31">
        <f>IFERROR(__xludf.DUMMYFUNCTION("""COMPUTED_VALUE"""),1340.0)</f>
        <v>1340</v>
      </c>
    </row>
    <row r="73">
      <c r="A73" s="31" t="str">
        <f>IFERROR(__xludf.DUMMYFUNCTION("""COMPUTED_VALUE"""),"Perino")</f>
        <v>Perino</v>
      </c>
      <c r="B73" s="31" t="str">
        <f>IFERROR(__xludf.DUMMYFUNCTION("""COMPUTED_VALUE"""),"North America")</f>
        <v>North America</v>
      </c>
      <c r="C73" s="31">
        <f>IFERROR(__xludf.DUMMYFUNCTION("""COMPUTED_VALUE"""),1340.0)</f>
        <v>1340</v>
      </c>
    </row>
    <row r="74">
      <c r="A74" s="31" t="str">
        <f>IFERROR(__xludf.DUMMYFUNCTION("""COMPUTED_VALUE"""),"Twistrr")</f>
        <v>Twistrr</v>
      </c>
      <c r="B74" s="31" t="str">
        <f>IFERROR(__xludf.DUMMYFUNCTION("""COMPUTED_VALUE"""),"North America")</f>
        <v>North America</v>
      </c>
      <c r="C74" s="31">
        <f>IFERROR(__xludf.DUMMYFUNCTION("""COMPUTED_VALUE"""),1340.0)</f>
        <v>1340</v>
      </c>
    </row>
    <row r="75">
      <c r="A75" s="31" t="str">
        <f>IFERROR(__xludf.DUMMYFUNCTION("""COMPUTED_VALUE"""),"Infic")</f>
        <v>Infic</v>
      </c>
      <c r="B75" s="31" t="str">
        <f>IFERROR(__xludf.DUMMYFUNCTION("""COMPUTED_VALUE"""),"North America")</f>
        <v>North America</v>
      </c>
      <c r="C75" s="31">
        <f>IFERROR(__xludf.DUMMYFUNCTION("""COMPUTED_VALUE"""),1326.0)</f>
        <v>1326</v>
      </c>
    </row>
    <row r="76">
      <c r="A76" s="31" t="str">
        <f>IFERROR(__xludf.DUMMYFUNCTION("""COMPUTED_VALUE"""),"Infic")</f>
        <v>Infic</v>
      </c>
      <c r="B76" s="31" t="str">
        <f>IFERROR(__xludf.DUMMYFUNCTION("""COMPUTED_VALUE"""),"Europe")</f>
        <v>Europe</v>
      </c>
      <c r="C76" s="31">
        <f>IFERROR(__xludf.DUMMYFUNCTION("""COMPUTED_VALUE"""),1311.0)</f>
        <v>1311</v>
      </c>
    </row>
    <row r="77">
      <c r="A77" s="31" t="str">
        <f>IFERROR(__xludf.DUMMYFUNCTION("""COMPUTED_VALUE"""),"Tanox")</f>
        <v>Tanox</v>
      </c>
      <c r="B77" s="31" t="str">
        <f>IFERROR(__xludf.DUMMYFUNCTION("""COMPUTED_VALUE"""),"Europe")</f>
        <v>Europe</v>
      </c>
      <c r="C77" s="31">
        <f>IFERROR(__xludf.DUMMYFUNCTION("""COMPUTED_VALUE"""),1311.0)</f>
        <v>1311</v>
      </c>
    </row>
    <row r="78">
      <c r="A78" s="31" t="str">
        <f>IFERROR(__xludf.DUMMYFUNCTION("""COMPUTED_VALUE"""),"Right App")</f>
        <v>Right App</v>
      </c>
      <c r="B78" s="31" t="str">
        <f>IFERROR(__xludf.DUMMYFUNCTION("""COMPUTED_VALUE"""),"Australia")</f>
        <v>Australia</v>
      </c>
      <c r="C78" s="31">
        <f>IFERROR(__xludf.DUMMYFUNCTION("""COMPUTED_VALUE"""),1171.0)</f>
        <v>1171</v>
      </c>
    </row>
    <row r="79">
      <c r="A79" s="31" t="str">
        <f>IFERROR(__xludf.DUMMYFUNCTION("""COMPUTED_VALUE"""),"Fightrr")</f>
        <v>Fightrr</v>
      </c>
      <c r="B79" s="31" t="str">
        <f>IFERROR(__xludf.DUMMYFUNCTION("""COMPUTED_VALUE"""),"Australia")</f>
        <v>Australia</v>
      </c>
      <c r="C79" s="31">
        <f>IFERROR(__xludf.DUMMYFUNCTION("""COMPUTED_VALUE"""),993.0)</f>
        <v>993</v>
      </c>
    </row>
    <row r="80">
      <c r="A80" s="31" t="str">
        <f>IFERROR(__xludf.DUMMYFUNCTION("""COMPUTED_VALUE"""),"Perino")</f>
        <v>Perino</v>
      </c>
      <c r="B80" s="31" t="str">
        <f>IFERROR(__xludf.DUMMYFUNCTION("""COMPUTED_VALUE"""),"Australia")</f>
        <v>Australia</v>
      </c>
      <c r="C80" s="31">
        <f>IFERROR(__xludf.DUMMYFUNCTION("""COMPUTED_VALUE"""),993.0)</f>
        <v>993</v>
      </c>
    </row>
    <row r="81">
      <c r="A81" s="31" t="str">
        <f>IFERROR(__xludf.DUMMYFUNCTION("""COMPUTED_VALUE"""),"deRamblr")</f>
        <v>deRamblr</v>
      </c>
      <c r="B81" s="31" t="str">
        <f>IFERROR(__xludf.DUMMYFUNCTION("""COMPUTED_VALUE"""),"Europe")</f>
        <v>Europe</v>
      </c>
      <c r="C81" s="31">
        <f>IFERROR(__xludf.DUMMYFUNCTION("""COMPUTED_VALUE"""),927.0)</f>
        <v>927</v>
      </c>
    </row>
    <row r="82">
      <c r="A82" s="31" t="str">
        <f>IFERROR(__xludf.DUMMYFUNCTION("""COMPUTED_VALUE"""),"Jellyfish")</f>
        <v>Jellyfish</v>
      </c>
      <c r="B82" s="31" t="str">
        <f>IFERROR(__xludf.DUMMYFUNCTION("""COMPUTED_VALUE"""),"Europe")</f>
        <v>Europe</v>
      </c>
      <c r="C82" s="31">
        <f>IFERROR(__xludf.DUMMYFUNCTION("""COMPUTED_VALUE"""),927.0)</f>
        <v>927</v>
      </c>
    </row>
    <row r="83">
      <c r="A83" s="31" t="str">
        <f>IFERROR(__xludf.DUMMYFUNCTION("""COMPUTED_VALUE"""),"Kryptis")</f>
        <v>Kryptis</v>
      </c>
      <c r="B83" s="31" t="str">
        <f>IFERROR(__xludf.DUMMYFUNCTION("""COMPUTED_VALUE"""),"Europe")</f>
        <v>Europe</v>
      </c>
      <c r="C83" s="31">
        <f>IFERROR(__xludf.DUMMYFUNCTION("""COMPUTED_VALUE"""),927.0)</f>
        <v>927</v>
      </c>
    </row>
    <row r="84">
      <c r="A84" s="31" t="str">
        <f>IFERROR(__xludf.DUMMYFUNCTION("""COMPUTED_VALUE"""),"Blend")</f>
        <v>Blend</v>
      </c>
      <c r="B84" s="31" t="str">
        <f>IFERROR(__xludf.DUMMYFUNCTION("""COMPUTED_VALUE"""),"Europe")</f>
        <v>Europe</v>
      </c>
      <c r="C84" s="31">
        <f>IFERROR(__xludf.DUMMYFUNCTION("""COMPUTED_VALUE"""),911.0)</f>
        <v>911</v>
      </c>
    </row>
    <row r="85">
      <c r="A85" s="31" t="str">
        <f>IFERROR(__xludf.DUMMYFUNCTION("""COMPUTED_VALUE"""),"Voltage")</f>
        <v>Voltage</v>
      </c>
      <c r="B85" s="31" t="str">
        <f>IFERROR(__xludf.DUMMYFUNCTION("""COMPUTED_VALUE"""),"Europe")</f>
        <v>Europe</v>
      </c>
      <c r="C85" s="31">
        <f>IFERROR(__xludf.DUMMYFUNCTION("""COMPUTED_VALUE"""),911.0)</f>
        <v>911</v>
      </c>
    </row>
    <row r="86">
      <c r="A86" s="31" t="str">
        <f>IFERROR(__xludf.DUMMYFUNCTION("""COMPUTED_VALUE"""),"Hackrr")</f>
        <v>Hackrr</v>
      </c>
      <c r="B86" s="31" t="str">
        <f>IFERROR(__xludf.DUMMYFUNCTION("""COMPUTED_VALUE"""),"North America")</f>
        <v>North America</v>
      </c>
      <c r="C86" s="31">
        <f>IFERROR(__xludf.DUMMYFUNCTION("""COMPUTED_VALUE"""),894.0)</f>
        <v>894</v>
      </c>
    </row>
    <row r="87">
      <c r="A87" s="31" t="str">
        <f>IFERROR(__xludf.DUMMYFUNCTION("""COMPUTED_VALUE"""),"Mosquit")</f>
        <v>Mosquit</v>
      </c>
      <c r="B87" s="31" t="str">
        <f>IFERROR(__xludf.DUMMYFUNCTION("""COMPUTED_VALUE"""),"North America")</f>
        <v>North America</v>
      </c>
      <c r="C87" s="31">
        <f>IFERROR(__xludf.DUMMYFUNCTION("""COMPUTED_VALUE"""),884.0)</f>
        <v>884</v>
      </c>
    </row>
    <row r="88">
      <c r="A88" s="31" t="str">
        <f>IFERROR(__xludf.DUMMYFUNCTION("""COMPUTED_VALUE"""),"Scrap")</f>
        <v>Scrap</v>
      </c>
      <c r="B88" s="31" t="str">
        <f>IFERROR(__xludf.DUMMYFUNCTION("""COMPUTED_VALUE"""),"North America")</f>
        <v>North America</v>
      </c>
      <c r="C88" s="31">
        <f>IFERROR(__xludf.DUMMYFUNCTION("""COMPUTED_VALUE"""),884.0)</f>
        <v>884</v>
      </c>
    </row>
    <row r="89">
      <c r="A89" s="31" t="str">
        <f>IFERROR(__xludf.DUMMYFUNCTION("""COMPUTED_VALUE"""),"Tanox")</f>
        <v>Tanox</v>
      </c>
      <c r="B89" s="31" t="str">
        <f>IFERROR(__xludf.DUMMYFUNCTION("""COMPUTED_VALUE"""),"North America")</f>
        <v>North America</v>
      </c>
      <c r="C89" s="31">
        <f>IFERROR(__xludf.DUMMYFUNCTION("""COMPUTED_VALUE"""),884.0)</f>
        <v>884</v>
      </c>
    </row>
    <row r="90">
      <c r="A90" s="31" t="str">
        <f>IFERROR(__xludf.DUMMYFUNCTION("""COMPUTED_VALUE"""),"Sleops")</f>
        <v>Sleops</v>
      </c>
      <c r="B90" s="31" t="str">
        <f>IFERROR(__xludf.DUMMYFUNCTION("""COMPUTED_VALUE"""),"Asia")</f>
        <v>Asia</v>
      </c>
      <c r="C90" s="31">
        <f>IFERROR(__xludf.DUMMYFUNCTION("""COMPUTED_VALUE"""),878.0)</f>
        <v>878</v>
      </c>
    </row>
    <row r="91">
      <c r="A91" s="31" t="str">
        <f>IFERROR(__xludf.DUMMYFUNCTION("""COMPUTED_VALUE"""),"Mosquit")</f>
        <v>Mosquit</v>
      </c>
      <c r="B91" s="31" t="str">
        <f>IFERROR(__xludf.DUMMYFUNCTION("""COMPUTED_VALUE"""),"Europe")</f>
        <v>Europe</v>
      </c>
      <c r="C91" s="31">
        <f>IFERROR(__xludf.DUMMYFUNCTION("""COMPUTED_VALUE"""),874.0)</f>
        <v>874</v>
      </c>
    </row>
    <row r="92">
      <c r="A92" s="31" t="str">
        <f>IFERROR(__xludf.DUMMYFUNCTION("""COMPUTED_VALUE"""),"Fightrr")</f>
        <v>Fightrr</v>
      </c>
      <c r="B92" s="31" t="str">
        <f>IFERROR(__xludf.DUMMYFUNCTION("""COMPUTED_VALUE"""),"South America")</f>
        <v>South America</v>
      </c>
      <c r="C92" s="31">
        <f>IFERROR(__xludf.DUMMYFUNCTION("""COMPUTED_VALUE"""),851.0)</f>
        <v>851</v>
      </c>
    </row>
    <row r="93">
      <c r="A93" s="31" t="str">
        <f>IFERROR(__xludf.DUMMYFUNCTION("""COMPUTED_VALUE"""),"deRamblr")</f>
        <v>deRamblr</v>
      </c>
      <c r="B93" s="31" t="str">
        <f>IFERROR(__xludf.DUMMYFUNCTION("""COMPUTED_VALUE"""),"Australia")</f>
        <v>Australia</v>
      </c>
      <c r="C93" s="31">
        <f>IFERROR(__xludf.DUMMYFUNCTION("""COMPUTED_VALUE"""),497.0)</f>
        <v>497</v>
      </c>
    </row>
    <row r="94">
      <c r="A94" s="31" t="str">
        <f>IFERROR(__xludf.DUMMYFUNCTION("""COMPUTED_VALUE"""),"Pes")</f>
        <v>Pes</v>
      </c>
      <c r="B94" s="31" t="str">
        <f>IFERROR(__xludf.DUMMYFUNCTION("""COMPUTED_VALUE"""),"Australia")</f>
        <v>Australia</v>
      </c>
      <c r="C94" s="31">
        <f>IFERROR(__xludf.DUMMYFUNCTION("""COMPUTED_VALUE"""),497.0)</f>
        <v>497</v>
      </c>
    </row>
    <row r="95">
      <c r="A95" s="31" t="str">
        <f>IFERROR(__xludf.DUMMYFUNCTION("""COMPUTED_VALUE"""),"Perino")</f>
        <v>Perino</v>
      </c>
      <c r="B95" s="31" t="str">
        <f>IFERROR(__xludf.DUMMYFUNCTION("""COMPUTED_VALUE"""),"Europe")</f>
        <v>Europe</v>
      </c>
      <c r="C95" s="31">
        <f>IFERROR(__xludf.DUMMYFUNCTION("""COMPUTED_VALUE"""),463.0)</f>
        <v>463</v>
      </c>
    </row>
    <row r="96">
      <c r="A96" s="31" t="str">
        <f>IFERROR(__xludf.DUMMYFUNCTION("""COMPUTED_VALUE"""),"Pes")</f>
        <v>Pes</v>
      </c>
      <c r="B96" s="31" t="str">
        <f>IFERROR(__xludf.DUMMYFUNCTION("""COMPUTED_VALUE"""),"Europe")</f>
        <v>Europe</v>
      </c>
      <c r="C96" s="31">
        <f>IFERROR(__xludf.DUMMYFUNCTION("""COMPUTED_VALUE"""),463.0)</f>
        <v>463</v>
      </c>
    </row>
    <row r="97">
      <c r="A97" s="31" t="str">
        <f>IFERROR(__xludf.DUMMYFUNCTION("""COMPUTED_VALUE"""),"Sleops")</f>
        <v>Sleops</v>
      </c>
      <c r="B97" s="31" t="str">
        <f>IFERROR(__xludf.DUMMYFUNCTION("""COMPUTED_VALUE"""),"Europe")</f>
        <v>Europe</v>
      </c>
      <c r="C97" s="31">
        <f>IFERROR(__xludf.DUMMYFUNCTION("""COMPUTED_VALUE"""),455.0)</f>
        <v>455</v>
      </c>
    </row>
    <row r="98">
      <c r="A98" s="31" t="str">
        <f>IFERROR(__xludf.DUMMYFUNCTION("""COMPUTED_VALUE"""),"Five Labs")</f>
        <v>Five Labs</v>
      </c>
      <c r="B98" s="31" t="str">
        <f>IFERROR(__xludf.DUMMYFUNCTION("""COMPUTED_VALUE"""),"North America")</f>
        <v>North America</v>
      </c>
      <c r="C98" s="31">
        <f>IFERROR(__xludf.DUMMYFUNCTION("""COMPUTED_VALUE"""),447.0)</f>
        <v>447</v>
      </c>
    </row>
    <row r="99">
      <c r="A99" s="31" t="str">
        <f>IFERROR(__xludf.DUMMYFUNCTION("""COMPUTED_VALUE"""),"Motocyco")</f>
        <v>Motocyco</v>
      </c>
      <c r="B99" s="31" t="str">
        <f>IFERROR(__xludf.DUMMYFUNCTION("""COMPUTED_VALUE"""),"Europe")</f>
        <v>Europe</v>
      </c>
      <c r="C99" s="31">
        <f>IFERROR(__xludf.DUMMYFUNCTION("""COMPUTED_VALUE"""),437.0)</f>
        <v>437</v>
      </c>
    </row>
    <row r="100">
      <c r="A100" s="31" t="str">
        <f>IFERROR(__xludf.DUMMYFUNCTION("""COMPUTED_VALUE"""),"Scrap")</f>
        <v>Scrap</v>
      </c>
      <c r="B100" s="31" t="str">
        <f>IFERROR(__xludf.DUMMYFUNCTION("""COMPUTED_VALUE"""),"Europe")</f>
        <v>Europe</v>
      </c>
      <c r="C100" s="31">
        <f>IFERROR(__xludf.DUMMYFUNCTION("""COMPUTED_VALUE"""),437.0)</f>
        <v>437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5" max="5" width="6.25"/>
    <col customWidth="1" min="9" max="9" width="8.63"/>
    <col customWidth="1" min="10" max="10" width="5.25"/>
    <col customWidth="1" min="11" max="11" width="2.63"/>
    <col customWidth="1" min="17" max="17" width="10.5"/>
    <col customWidth="1" min="18" max="18" width="2.75"/>
    <col customWidth="1" min="20" max="20" width="8.75"/>
    <col customWidth="1" min="21" max="21" width="10.0"/>
    <col customWidth="1" min="22" max="23" width="8.38"/>
  </cols>
  <sheetData>
    <row r="1">
      <c r="A1" s="17" t="s">
        <v>146</v>
      </c>
      <c r="B1" s="18"/>
      <c r="C1" s="18"/>
      <c r="D1" s="18"/>
      <c r="E1" s="18"/>
      <c r="F1" s="18"/>
      <c r="K1" s="32" t="s">
        <v>147</v>
      </c>
      <c r="L1" s="7" t="s">
        <v>148</v>
      </c>
      <c r="R1" s="32" t="s">
        <v>147</v>
      </c>
      <c r="S1" s="7" t="s">
        <v>148</v>
      </c>
    </row>
    <row r="2">
      <c r="A2" s="25" t="s">
        <v>149</v>
      </c>
      <c r="K2" s="33"/>
      <c r="L2" s="25" t="s">
        <v>150</v>
      </c>
      <c r="R2" s="33"/>
      <c r="S2" s="25" t="s">
        <v>151</v>
      </c>
    </row>
    <row r="3">
      <c r="K3" s="33"/>
      <c r="L3" s="25" t="s">
        <v>152</v>
      </c>
      <c r="R3" s="33"/>
    </row>
    <row r="4">
      <c r="A4" s="30" t="str">
        <f>IFERROR(__xludf.DUMMYFUNCTION("QUERY('Raw Data'!A2:E130,""select B, sum(D), sum(E), sum(D)-sum(E) where D is not null group by B label sum(D) 'Actual', sum(E) 'Budget', sum(D)-sum(E) 'Difference' "")"),"Region")</f>
        <v>Region</v>
      </c>
      <c r="B4" s="8" t="str">
        <f>IFERROR(__xludf.DUMMYFUNCTION("""COMPUTED_VALUE"""),"Actual")</f>
        <v>Actual</v>
      </c>
      <c r="C4" s="8" t="str">
        <f>IFERROR(__xludf.DUMMYFUNCTION("""COMPUTED_VALUE"""),"Budget")</f>
        <v>Budget</v>
      </c>
      <c r="D4" s="8" t="str">
        <f>IFERROR(__xludf.DUMMYFUNCTION("""COMPUTED_VALUE"""),"Difference")</f>
        <v>Difference</v>
      </c>
      <c r="K4" s="33"/>
      <c r="R4" s="33"/>
    </row>
    <row r="5">
      <c r="A5" s="31" t="str">
        <f>IFERROR(__xludf.DUMMYFUNCTION("""COMPUTED_VALUE"""),"Asia")</f>
        <v>Asia</v>
      </c>
      <c r="B5" s="34">
        <f>IFERROR(__xludf.DUMMYFUNCTION("""COMPUTED_VALUE"""),73059.0)</f>
        <v>73059</v>
      </c>
      <c r="C5" s="34">
        <f>IFERROR(__xludf.DUMMYFUNCTION("""COMPUTED_VALUE"""),74842.0)</f>
        <v>74842</v>
      </c>
      <c r="D5" s="34">
        <f>IFERROR(__xludf.DUMMYFUNCTION("""COMPUTED_VALUE"""),-1783.0)</f>
        <v>-1783</v>
      </c>
      <c r="K5" s="33"/>
      <c r="R5" s="33"/>
      <c r="S5" s="35" t="str">
        <f>IFERROR(__xludf.DUMMYFUNCTION("query('Raw Data'!A2:E130,""select B, sum(D) where A is not null group by B pivot A"")"),"Region")</f>
        <v>Region</v>
      </c>
      <c r="T5" s="35" t="str">
        <f>IFERROR(__xludf.DUMMYFUNCTION("""COMPUTED_VALUE"""),"Game")</f>
        <v>Game</v>
      </c>
      <c r="U5" s="35" t="str">
        <f>IFERROR(__xludf.DUMMYFUNCTION("""COMPUTED_VALUE"""),"Productivity")</f>
        <v>Productivity</v>
      </c>
      <c r="V5" s="35" t="str">
        <f>IFERROR(__xludf.DUMMYFUNCTION("""COMPUTED_VALUE"""),"Utility")</f>
        <v>Utility</v>
      </c>
    </row>
    <row r="6">
      <c r="A6" s="31" t="str">
        <f>IFERROR(__xludf.DUMMYFUNCTION("""COMPUTED_VALUE"""),"Australia")</f>
        <v>Australia</v>
      </c>
      <c r="B6" s="34">
        <f>IFERROR(__xludf.DUMMYFUNCTION("""COMPUTED_VALUE"""),78933.0)</f>
        <v>78933</v>
      </c>
      <c r="C6" s="34">
        <f>IFERROR(__xludf.DUMMYFUNCTION("""COMPUTED_VALUE"""),78285.0)</f>
        <v>78285</v>
      </c>
      <c r="D6" s="34">
        <f>IFERROR(__xludf.DUMMYFUNCTION("""COMPUTED_VALUE"""),648.0)</f>
        <v>648</v>
      </c>
      <c r="K6" s="33"/>
      <c r="L6" s="36" t="str">
        <f>IFERROR(__xludf.DUMMYFUNCTION("query('Raw Data'!A2:E130,""select B,A, sum(D) where A is not null group by B,A order by sum(D) desc label sum(D) 'Actual Sales'"")"),"Region")</f>
        <v>Region</v>
      </c>
      <c r="M6" s="35" t="str">
        <f>IFERROR(__xludf.DUMMYFUNCTION("""COMPUTED_VALUE"""),"Division")</f>
        <v>Division</v>
      </c>
      <c r="N6" s="35" t="str">
        <f>IFERROR(__xludf.DUMMYFUNCTION("""COMPUTED_VALUE"""),"Actual Sales")</f>
        <v>Actual Sales</v>
      </c>
      <c r="R6" s="33"/>
      <c r="S6" s="31" t="str">
        <f>IFERROR(__xludf.DUMMYFUNCTION("""COMPUTED_VALUE"""),"Asia")</f>
        <v>Asia</v>
      </c>
      <c r="T6" s="34">
        <f>IFERROR(__xludf.DUMMYFUNCTION("""COMPUTED_VALUE"""),43783.0)</f>
        <v>43783</v>
      </c>
      <c r="U6" s="34">
        <f>IFERROR(__xludf.DUMMYFUNCTION("""COMPUTED_VALUE"""),29276.0)</f>
        <v>29276</v>
      </c>
      <c r="V6" s="34"/>
    </row>
    <row r="7">
      <c r="A7" s="31" t="str">
        <f>IFERROR(__xludf.DUMMYFUNCTION("""COMPUTED_VALUE"""),"Europe")</f>
        <v>Europe</v>
      </c>
      <c r="B7" s="34">
        <f>IFERROR(__xludf.DUMMYFUNCTION("""COMPUTED_VALUE"""),135574.0)</f>
        <v>135574</v>
      </c>
      <c r="C7" s="34">
        <f>IFERROR(__xludf.DUMMYFUNCTION("""COMPUTED_VALUE"""),137531.0)</f>
        <v>137531</v>
      </c>
      <c r="D7" s="34">
        <f>IFERROR(__xludf.DUMMYFUNCTION("""COMPUTED_VALUE"""),-1957.0)</f>
        <v>-1957</v>
      </c>
      <c r="K7" s="33"/>
      <c r="L7" s="31" t="str">
        <f>IFERROR(__xludf.DUMMYFUNCTION("""COMPUTED_VALUE"""),"Australia")</f>
        <v>Australia</v>
      </c>
      <c r="M7" s="31" t="str">
        <f>IFERROR(__xludf.DUMMYFUNCTION("""COMPUTED_VALUE"""),"Game")</f>
        <v>Game</v>
      </c>
      <c r="N7" s="34">
        <f>IFERROR(__xludf.DUMMYFUNCTION("""COMPUTED_VALUE"""),49656.0)</f>
        <v>49656</v>
      </c>
      <c r="R7" s="33"/>
      <c r="S7" s="31" t="str">
        <f>IFERROR(__xludf.DUMMYFUNCTION("""COMPUTED_VALUE"""),"Australia")</f>
        <v>Australia</v>
      </c>
      <c r="T7" s="34">
        <f>IFERROR(__xludf.DUMMYFUNCTION("""COMPUTED_VALUE"""),49656.0)</f>
        <v>49656</v>
      </c>
      <c r="U7" s="34">
        <f>IFERROR(__xludf.DUMMYFUNCTION("""COMPUTED_VALUE"""),29277.0)</f>
        <v>29277</v>
      </c>
      <c r="V7" s="34"/>
    </row>
    <row r="8">
      <c r="A8" s="31" t="str">
        <f>IFERROR(__xludf.DUMMYFUNCTION("""COMPUTED_VALUE"""),"North America")</f>
        <v>North America</v>
      </c>
      <c r="B8" s="34">
        <f>IFERROR(__xludf.DUMMYFUNCTION("""COMPUTED_VALUE"""),88873.0)</f>
        <v>88873</v>
      </c>
      <c r="C8" s="34">
        <f>IFERROR(__xludf.DUMMYFUNCTION("""COMPUTED_VALUE"""),87847.0)</f>
        <v>87847</v>
      </c>
      <c r="D8" s="34">
        <f>IFERROR(__xludf.DUMMYFUNCTION("""COMPUTED_VALUE"""),1026.0)</f>
        <v>1026</v>
      </c>
      <c r="K8" s="33"/>
      <c r="L8" s="31" t="str">
        <f>IFERROR(__xludf.DUMMYFUNCTION("""COMPUTED_VALUE"""),"Europe")</f>
        <v>Europe</v>
      </c>
      <c r="M8" s="31" t="str">
        <f>IFERROR(__xludf.DUMMYFUNCTION("""COMPUTED_VALUE"""),"Game")</f>
        <v>Game</v>
      </c>
      <c r="N8" s="34">
        <f>IFERROR(__xludf.DUMMYFUNCTION("""COMPUTED_VALUE"""),46336.0)</f>
        <v>46336</v>
      </c>
      <c r="R8" s="33"/>
      <c r="S8" s="31" t="str">
        <f>IFERROR(__xludf.DUMMYFUNCTION("""COMPUTED_VALUE"""),"Europe")</f>
        <v>Europe</v>
      </c>
      <c r="T8" s="34">
        <f>IFERROR(__xludf.DUMMYFUNCTION("""COMPUTED_VALUE"""),46336.0)</f>
        <v>46336</v>
      </c>
      <c r="U8" s="34">
        <f>IFERROR(__xludf.DUMMYFUNCTION("""COMPUTED_VALUE"""),45541.0)</f>
        <v>45541</v>
      </c>
      <c r="V8" s="34">
        <f>IFERROR(__xludf.DUMMYFUNCTION("""COMPUTED_VALUE"""),43697.0)</f>
        <v>43697</v>
      </c>
    </row>
    <row r="9">
      <c r="A9" s="31" t="str">
        <f>IFERROR(__xludf.DUMMYFUNCTION("""COMPUTED_VALUE"""),"South America")</f>
        <v>South America</v>
      </c>
      <c r="B9" s="34">
        <f>IFERROR(__xludf.DUMMYFUNCTION("""COMPUTED_VALUE"""),42569.0)</f>
        <v>42569</v>
      </c>
      <c r="C9" s="34">
        <f>IFERROR(__xludf.DUMMYFUNCTION("""COMPUTED_VALUE"""),41846.0)</f>
        <v>41846</v>
      </c>
      <c r="D9" s="34">
        <f>IFERROR(__xludf.DUMMYFUNCTION("""COMPUTED_VALUE"""),723.0)</f>
        <v>723</v>
      </c>
      <c r="K9" s="33"/>
      <c r="L9" s="31" t="str">
        <f>IFERROR(__xludf.DUMMYFUNCTION("""COMPUTED_VALUE"""),"Europe")</f>
        <v>Europe</v>
      </c>
      <c r="M9" s="31" t="str">
        <f>IFERROR(__xludf.DUMMYFUNCTION("""COMPUTED_VALUE"""),"Productivity")</f>
        <v>Productivity</v>
      </c>
      <c r="N9" s="34">
        <f>IFERROR(__xludf.DUMMYFUNCTION("""COMPUTED_VALUE"""),45541.0)</f>
        <v>45541</v>
      </c>
      <c r="R9" s="33"/>
      <c r="S9" s="31" t="str">
        <f>IFERROR(__xludf.DUMMYFUNCTION("""COMPUTED_VALUE"""),"North America")</f>
        <v>North America</v>
      </c>
      <c r="T9" s="34">
        <f>IFERROR(__xludf.DUMMYFUNCTION("""COMPUTED_VALUE"""),44676.0)</f>
        <v>44676</v>
      </c>
      <c r="U9" s="34"/>
      <c r="V9" s="34">
        <f>IFERROR(__xludf.DUMMYFUNCTION("""COMPUTED_VALUE"""),44197.0)</f>
        <v>44197</v>
      </c>
    </row>
    <row r="10">
      <c r="B10" s="34"/>
      <c r="C10" s="34"/>
      <c r="D10" s="34"/>
      <c r="K10" s="33"/>
      <c r="L10" s="31" t="str">
        <f>IFERROR(__xludf.DUMMYFUNCTION("""COMPUTED_VALUE"""),"North America")</f>
        <v>North America</v>
      </c>
      <c r="M10" s="31" t="str">
        <f>IFERROR(__xludf.DUMMYFUNCTION("""COMPUTED_VALUE"""),"Game")</f>
        <v>Game</v>
      </c>
      <c r="N10" s="34">
        <f>IFERROR(__xludf.DUMMYFUNCTION("""COMPUTED_VALUE"""),44676.0)</f>
        <v>44676</v>
      </c>
      <c r="R10" s="33"/>
      <c r="S10" s="31" t="str">
        <f>IFERROR(__xludf.DUMMYFUNCTION("""COMPUTED_VALUE"""),"South America")</f>
        <v>South America</v>
      </c>
      <c r="T10" s="34">
        <f>IFERROR(__xludf.DUMMYFUNCTION("""COMPUTED_VALUE"""),42569.0)</f>
        <v>42569</v>
      </c>
      <c r="U10" s="34"/>
      <c r="V10" s="34"/>
    </row>
    <row r="11">
      <c r="B11" s="34"/>
      <c r="C11" s="34"/>
      <c r="D11" s="34"/>
      <c r="K11" s="33"/>
      <c r="L11" s="31" t="str">
        <f>IFERROR(__xludf.DUMMYFUNCTION("""COMPUTED_VALUE"""),"North America")</f>
        <v>North America</v>
      </c>
      <c r="M11" s="31" t="str">
        <f>IFERROR(__xludf.DUMMYFUNCTION("""COMPUTED_VALUE"""),"Utility")</f>
        <v>Utility</v>
      </c>
      <c r="N11" s="34">
        <f>IFERROR(__xludf.DUMMYFUNCTION("""COMPUTED_VALUE"""),44197.0)</f>
        <v>44197</v>
      </c>
      <c r="R11" s="33"/>
      <c r="T11" s="34"/>
      <c r="U11" s="34"/>
      <c r="V11" s="34"/>
    </row>
    <row r="12">
      <c r="B12" s="34"/>
      <c r="C12" s="34"/>
      <c r="D12" s="34"/>
      <c r="K12" s="33"/>
      <c r="L12" s="31" t="str">
        <f>IFERROR(__xludf.DUMMYFUNCTION("""COMPUTED_VALUE"""),"Asia")</f>
        <v>Asia</v>
      </c>
      <c r="M12" s="31" t="str">
        <f>IFERROR(__xludf.DUMMYFUNCTION("""COMPUTED_VALUE"""),"Game")</f>
        <v>Game</v>
      </c>
      <c r="N12" s="34">
        <f>IFERROR(__xludf.DUMMYFUNCTION("""COMPUTED_VALUE"""),43783.0)</f>
        <v>43783</v>
      </c>
      <c r="R12" s="33"/>
      <c r="T12" s="34"/>
      <c r="U12" s="34"/>
      <c r="V12" s="34"/>
    </row>
    <row r="13">
      <c r="B13" s="34"/>
      <c r="C13" s="34"/>
      <c r="D13" s="34"/>
      <c r="K13" s="33"/>
      <c r="L13" s="31" t="str">
        <f>IFERROR(__xludf.DUMMYFUNCTION("""COMPUTED_VALUE"""),"Europe")</f>
        <v>Europe</v>
      </c>
      <c r="M13" s="31" t="str">
        <f>IFERROR(__xludf.DUMMYFUNCTION("""COMPUTED_VALUE"""),"Utility")</f>
        <v>Utility</v>
      </c>
      <c r="N13" s="34">
        <f>IFERROR(__xludf.DUMMYFUNCTION("""COMPUTED_VALUE"""),43697.0)</f>
        <v>43697</v>
      </c>
      <c r="R13" s="33"/>
      <c r="T13" s="34"/>
      <c r="U13" s="34"/>
      <c r="V13" s="34"/>
    </row>
    <row r="14">
      <c r="B14" s="34"/>
      <c r="C14" s="34"/>
      <c r="D14" s="34"/>
      <c r="K14" s="33"/>
      <c r="L14" s="31" t="str">
        <f>IFERROR(__xludf.DUMMYFUNCTION("""COMPUTED_VALUE"""),"South America")</f>
        <v>South America</v>
      </c>
      <c r="M14" s="31" t="str">
        <f>IFERROR(__xludf.DUMMYFUNCTION("""COMPUTED_VALUE"""),"Game")</f>
        <v>Game</v>
      </c>
      <c r="N14" s="34">
        <f>IFERROR(__xludf.DUMMYFUNCTION("""COMPUTED_VALUE"""),42569.0)</f>
        <v>42569</v>
      </c>
      <c r="R14" s="33"/>
      <c r="T14" s="34"/>
      <c r="U14" s="34"/>
      <c r="V14" s="34"/>
    </row>
    <row r="15">
      <c r="B15" s="34"/>
      <c r="C15" s="34"/>
      <c r="D15" s="34"/>
      <c r="K15" s="33"/>
      <c r="L15" s="31" t="str">
        <f>IFERROR(__xludf.DUMMYFUNCTION("""COMPUTED_VALUE"""),"Australia")</f>
        <v>Australia</v>
      </c>
      <c r="M15" s="31" t="str">
        <f>IFERROR(__xludf.DUMMYFUNCTION("""COMPUTED_VALUE"""),"Productivity")</f>
        <v>Productivity</v>
      </c>
      <c r="N15" s="34">
        <f>IFERROR(__xludf.DUMMYFUNCTION("""COMPUTED_VALUE"""),29277.0)</f>
        <v>29277</v>
      </c>
      <c r="R15" s="33"/>
      <c r="T15" s="34"/>
      <c r="U15" s="34"/>
      <c r="V15" s="34"/>
    </row>
    <row r="16">
      <c r="K16" s="33"/>
      <c r="L16" s="31" t="str">
        <f>IFERROR(__xludf.DUMMYFUNCTION("""COMPUTED_VALUE"""),"Asia")</f>
        <v>Asia</v>
      </c>
      <c r="M16" s="31" t="str">
        <f>IFERROR(__xludf.DUMMYFUNCTION("""COMPUTED_VALUE"""),"Productivity")</f>
        <v>Productivity</v>
      </c>
      <c r="N16" s="34">
        <f>IFERROR(__xludf.DUMMYFUNCTION("""COMPUTED_VALUE"""),29276.0)</f>
        <v>29276</v>
      </c>
      <c r="R16" s="33"/>
    </row>
    <row r="17">
      <c r="K17" s="33"/>
      <c r="N17" s="34"/>
      <c r="R17" s="33"/>
    </row>
    <row r="18">
      <c r="K18" s="33"/>
      <c r="N18" s="34"/>
      <c r="R18" s="33"/>
    </row>
    <row r="19">
      <c r="K19" s="33"/>
      <c r="N19" s="34"/>
      <c r="R19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3" max="3" width="7.75"/>
    <col customWidth="1" min="7" max="7" width="7.5"/>
    <col customWidth="1" min="8" max="8" width="2.75"/>
    <col customWidth="1" min="9" max="9" width="1.63"/>
  </cols>
  <sheetData>
    <row r="1">
      <c r="A1" s="17" t="s">
        <v>153</v>
      </c>
      <c r="B1" s="18"/>
      <c r="C1" s="18"/>
      <c r="D1" s="18"/>
      <c r="E1" s="18"/>
      <c r="F1" s="18"/>
      <c r="G1" s="37"/>
      <c r="H1" s="32" t="s">
        <v>147</v>
      </c>
      <c r="J1" s="17" t="s">
        <v>154</v>
      </c>
      <c r="K1" s="18"/>
      <c r="L1" s="18"/>
      <c r="M1" s="18"/>
      <c r="N1" s="18"/>
      <c r="O1" s="18"/>
      <c r="P1" s="37"/>
    </row>
    <row r="2">
      <c r="A2" s="25" t="s">
        <v>155</v>
      </c>
      <c r="H2" s="33"/>
    </row>
    <row r="3">
      <c r="H3" s="33"/>
    </row>
    <row r="4">
      <c r="A4" s="7" t="s">
        <v>156</v>
      </c>
      <c r="B4" s="38" t="s">
        <v>96</v>
      </c>
      <c r="H4" s="33"/>
      <c r="J4" s="7" t="s">
        <v>156</v>
      </c>
      <c r="K4" s="38" t="s">
        <v>96</v>
      </c>
    </row>
    <row r="5">
      <c r="H5" s="33"/>
    </row>
    <row r="6">
      <c r="A6" s="35" t="str">
        <f>IFERROR(__xludf.DUMMYFUNCTION("QUERY('Raw Data'!$A$2:$E$130,""select B, sum(D) where B is not null and A='"" &amp;B4  &amp; ""' group by B order by sum(D) desc label sum(D) 'Actual Sales'"",1)"),"Region")</f>
        <v>Region</v>
      </c>
      <c r="B6" s="35" t="str">
        <f>IFERROR(__xludf.DUMMYFUNCTION("""COMPUTED_VALUE"""),"Actual Sales")</f>
        <v>Actual Sales</v>
      </c>
      <c r="H6" s="33"/>
      <c r="J6" s="35" t="str">
        <f>IFERROR(__xludf.DUMMYFUNCTION("{QUERY('Raw Data'!$A$2:$E$130,""select B, sum(D) where B is not null and A='"" &amp;K4  &amp; ""' group by B order by sum(D) desc label sum(D) 'Actual Sales'"",1);transpose(QUERY('Raw Data'!A2:E130,""select sum(D) where A='"" &amp;K4&amp; ""' label sum(D) 'Total' ""))}"),"Region")</f>
        <v>Region</v>
      </c>
      <c r="K6" s="35" t="str">
        <f>IFERROR(__xludf.DUMMYFUNCTION("""COMPUTED_VALUE"""),"Actual Sales")</f>
        <v>Actual Sales</v>
      </c>
    </row>
    <row r="7">
      <c r="A7" s="31" t="str">
        <f>IFERROR(__xludf.DUMMYFUNCTION("""COMPUTED_VALUE"""),"Australia")</f>
        <v>Australia</v>
      </c>
      <c r="B7" s="34">
        <f>IFERROR(__xludf.DUMMYFUNCTION("""COMPUTED_VALUE"""),49656.0)</f>
        <v>49656</v>
      </c>
      <c r="H7" s="33"/>
      <c r="J7" s="31" t="str">
        <f>IFERROR(__xludf.DUMMYFUNCTION("""COMPUTED_VALUE"""),"Australia")</f>
        <v>Australia</v>
      </c>
      <c r="K7" s="34">
        <f>IFERROR(__xludf.DUMMYFUNCTION("""COMPUTED_VALUE"""),49656.0)</f>
        <v>49656</v>
      </c>
    </row>
    <row r="8">
      <c r="A8" s="31" t="str">
        <f>IFERROR(__xludf.DUMMYFUNCTION("""COMPUTED_VALUE"""),"Europe")</f>
        <v>Europe</v>
      </c>
      <c r="B8" s="34">
        <f>IFERROR(__xludf.DUMMYFUNCTION("""COMPUTED_VALUE"""),46336.0)</f>
        <v>46336</v>
      </c>
      <c r="H8" s="33"/>
      <c r="J8" s="31" t="str">
        <f>IFERROR(__xludf.DUMMYFUNCTION("""COMPUTED_VALUE"""),"Europe")</f>
        <v>Europe</v>
      </c>
      <c r="K8" s="34">
        <f>IFERROR(__xludf.DUMMYFUNCTION("""COMPUTED_VALUE"""),46336.0)</f>
        <v>46336</v>
      </c>
    </row>
    <row r="9">
      <c r="A9" s="31" t="str">
        <f>IFERROR(__xludf.DUMMYFUNCTION("""COMPUTED_VALUE"""),"North America")</f>
        <v>North America</v>
      </c>
      <c r="B9" s="34">
        <f>IFERROR(__xludf.DUMMYFUNCTION("""COMPUTED_VALUE"""),44676.0)</f>
        <v>44676</v>
      </c>
      <c r="H9" s="33"/>
      <c r="J9" s="31" t="str">
        <f>IFERROR(__xludf.DUMMYFUNCTION("""COMPUTED_VALUE"""),"North America")</f>
        <v>North America</v>
      </c>
      <c r="K9" s="34">
        <f>IFERROR(__xludf.DUMMYFUNCTION("""COMPUTED_VALUE"""),44676.0)</f>
        <v>44676</v>
      </c>
    </row>
    <row r="10">
      <c r="A10" s="31" t="str">
        <f>IFERROR(__xludf.DUMMYFUNCTION("""COMPUTED_VALUE"""),"Asia")</f>
        <v>Asia</v>
      </c>
      <c r="B10" s="34">
        <f>IFERROR(__xludf.DUMMYFUNCTION("""COMPUTED_VALUE"""),43783.0)</f>
        <v>43783</v>
      </c>
      <c r="H10" s="33"/>
      <c r="J10" s="31" t="str">
        <f>IFERROR(__xludf.DUMMYFUNCTION("""COMPUTED_VALUE"""),"Asia")</f>
        <v>Asia</v>
      </c>
      <c r="K10" s="34">
        <f>IFERROR(__xludf.DUMMYFUNCTION("""COMPUTED_VALUE"""),43783.0)</f>
        <v>43783</v>
      </c>
    </row>
    <row r="11">
      <c r="A11" s="31" t="str">
        <f>IFERROR(__xludf.DUMMYFUNCTION("""COMPUTED_VALUE"""),"South America")</f>
        <v>South America</v>
      </c>
      <c r="B11" s="34">
        <f>IFERROR(__xludf.DUMMYFUNCTION("""COMPUTED_VALUE"""),42569.0)</f>
        <v>42569</v>
      </c>
      <c r="H11" s="33"/>
      <c r="J11" s="31" t="str">
        <f>IFERROR(__xludf.DUMMYFUNCTION("""COMPUTED_VALUE"""),"South America")</f>
        <v>South America</v>
      </c>
      <c r="K11" s="34">
        <f>IFERROR(__xludf.DUMMYFUNCTION("""COMPUTED_VALUE"""),42569.0)</f>
        <v>42569</v>
      </c>
    </row>
    <row r="12">
      <c r="B12" s="34"/>
      <c r="H12" s="33"/>
      <c r="J12" s="31" t="str">
        <f>IFERROR(__xludf.DUMMYFUNCTION("""COMPUTED_VALUE"""),"Total")</f>
        <v>Total</v>
      </c>
      <c r="K12" s="34">
        <f>IFERROR(__xludf.DUMMYFUNCTION("""COMPUTED_VALUE"""),227020.0)</f>
        <v>227020</v>
      </c>
    </row>
    <row r="13">
      <c r="B13" s="34"/>
      <c r="H13" s="33"/>
      <c r="K13" s="34"/>
    </row>
    <row r="14">
      <c r="A14" s="7"/>
      <c r="B14" s="34"/>
      <c r="H14" s="33"/>
      <c r="K14" s="34"/>
    </row>
    <row r="15">
      <c r="B15" s="34"/>
      <c r="H15" s="33"/>
      <c r="K15" s="34"/>
    </row>
    <row r="16">
      <c r="B16" s="34"/>
      <c r="H16" s="33"/>
      <c r="K16" s="34"/>
    </row>
    <row r="17">
      <c r="B17" s="34"/>
      <c r="H17" s="33"/>
      <c r="K17" s="34"/>
    </row>
    <row r="18">
      <c r="H18" s="33"/>
      <c r="K18" s="34"/>
    </row>
    <row r="19">
      <c r="H19" s="33"/>
    </row>
  </sheetData>
  <conditionalFormatting sqref="J7:K17">
    <cfRule type="expression" dxfId="3" priority="1">
      <formula>$J7="Total"</formula>
    </cfRule>
  </conditionalFormatting>
  <dataValidations>
    <dataValidation type="list" allowBlank="1" showErrorMessage="1" sqref="B4 K4">
      <formula1>'Raw Data'!$A$3:$A$130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4" max="4" width="10.0"/>
    <col customWidth="1" min="6" max="7" width="14.75"/>
    <col customWidth="1" min="8" max="8" width="6.88"/>
    <col customWidth="1" min="9" max="9" width="14.75"/>
    <col customWidth="1" min="10" max="10" width="10.0"/>
    <col customWidth="1" min="11" max="11" width="16.13"/>
    <col customWidth="1" min="12" max="12" width="14.13"/>
    <col customWidth="1" min="17" max="17" width="5.25"/>
  </cols>
  <sheetData>
    <row r="1">
      <c r="A1" s="17" t="s">
        <v>157</v>
      </c>
      <c r="B1" s="18"/>
      <c r="C1" s="18"/>
      <c r="D1" s="18"/>
      <c r="E1" s="18"/>
      <c r="F1" s="17"/>
      <c r="G1" s="17"/>
      <c r="H1" s="17"/>
      <c r="I1" s="17" t="s">
        <v>158</v>
      </c>
      <c r="J1" s="18"/>
      <c r="K1" s="18"/>
      <c r="L1" s="18"/>
      <c r="M1" s="18"/>
    </row>
    <row r="2">
      <c r="A2" s="25" t="s">
        <v>159</v>
      </c>
      <c r="F2" s="25"/>
      <c r="G2" s="25"/>
      <c r="H2" s="25"/>
      <c r="I2" s="25" t="s">
        <v>159</v>
      </c>
    </row>
    <row r="3">
      <c r="A3" s="25" t="s">
        <v>160</v>
      </c>
      <c r="D3" s="39">
        <v>2.0</v>
      </c>
      <c r="F3" s="25"/>
      <c r="G3" s="25"/>
      <c r="H3" s="25"/>
      <c r="I3" s="25" t="s">
        <v>161</v>
      </c>
      <c r="L3" s="40">
        <v>33238.0</v>
      </c>
    </row>
    <row r="5">
      <c r="A5" s="8" t="str">
        <f>IFERROR(__xludf.DUMMYFUNCTION("QUERY(HR!A2:E44,""select B,D where month(D)+1= "" &amp;D3&amp;"""")"),"Name")</f>
        <v>Name</v>
      </c>
      <c r="B5" s="8" t="str">
        <f>IFERROR(__xludf.DUMMYFUNCTION("""COMPUTED_VALUE"""),"Birth Date")</f>
        <v>Birth Date</v>
      </c>
      <c r="F5" s="41"/>
      <c r="G5" s="41"/>
      <c r="H5" s="41"/>
      <c r="I5" s="42" t="str">
        <f>IFERROR(__xludf.DUMMYFUNCTION("query(HR!A2:E44,""select B,D where D &gt; date '1989-12-31' format D 'mmm-yy' "")"),"Name")</f>
        <v>Name</v>
      </c>
      <c r="J5" s="8" t="str">
        <f>IFERROR(__xludf.DUMMYFUNCTION("""COMPUTED_VALUE"""),"Birth Date")</f>
        <v>Birth Date</v>
      </c>
      <c r="L5" s="35" t="str">
        <f>IFERROR(__xludf.DUMMYFUNCTION("query(HR!A2:E44,""select B,D where D&gt; date '""&amp;text(L3,""yyyy-mm-dd"")&amp;""'"")"),"Name")</f>
        <v>Name</v>
      </c>
      <c r="M5" s="35" t="str">
        <f>IFERROR(__xludf.DUMMYFUNCTION("""COMPUTED_VALUE"""),"Birth Date")</f>
        <v>Birth Date</v>
      </c>
    </row>
    <row r="6">
      <c r="A6" s="31" t="str">
        <f>IFERROR(__xludf.DUMMYFUNCTION("""COMPUTED_VALUE"""),"Kim West")</f>
        <v>Kim West</v>
      </c>
      <c r="B6" s="43">
        <f>IFERROR(__xludf.DUMMYFUNCTION("""COMPUTED_VALUE"""),36569.0)</f>
        <v>36569</v>
      </c>
      <c r="I6" s="31" t="str">
        <f>IFERROR(__xludf.DUMMYFUNCTION("""COMPUTED_VALUE"""),"Walter Miller")</f>
        <v>Walter Miller</v>
      </c>
      <c r="J6" s="44">
        <f>IFERROR(__xludf.DUMMYFUNCTION("""COMPUTED_VALUE"""),35305.0)</f>
        <v>35305</v>
      </c>
      <c r="L6" s="31" t="str">
        <f>IFERROR(__xludf.DUMMYFUNCTION("""COMPUTED_VALUE"""),"Walter Miller")</f>
        <v>Walter Miller</v>
      </c>
      <c r="M6" s="43">
        <f>IFERROR(__xludf.DUMMYFUNCTION("""COMPUTED_VALUE"""),35305.0)</f>
        <v>35305</v>
      </c>
    </row>
    <row r="7">
      <c r="A7" s="31" t="str">
        <f>IFERROR(__xludf.DUMMYFUNCTION("""COMPUTED_VALUE"""),"Daniel Garrett")</f>
        <v>Daniel Garrett</v>
      </c>
      <c r="B7" s="43">
        <f>IFERROR(__xludf.DUMMYFUNCTION("""COMPUTED_VALUE"""),35849.0)</f>
        <v>35849</v>
      </c>
      <c r="I7" s="31" t="str">
        <f>IFERROR(__xludf.DUMMYFUNCTION("""COMPUTED_VALUE"""),"Alissa Mitchell")</f>
        <v>Alissa Mitchell</v>
      </c>
      <c r="J7" s="44">
        <f>IFERROR(__xludf.DUMMYFUNCTION("""COMPUTED_VALUE"""),34813.0)</f>
        <v>34813</v>
      </c>
      <c r="L7" s="31" t="str">
        <f>IFERROR(__xludf.DUMMYFUNCTION("""COMPUTED_VALUE"""),"Alissa Mitchell")</f>
        <v>Alissa Mitchell</v>
      </c>
      <c r="M7" s="43">
        <f>IFERROR(__xludf.DUMMYFUNCTION("""COMPUTED_VALUE"""),34813.0)</f>
        <v>34813</v>
      </c>
    </row>
    <row r="8">
      <c r="I8" s="31" t="str">
        <f>IFERROR(__xludf.DUMMYFUNCTION("""COMPUTED_VALUE"""),"Ann Withers")</f>
        <v>Ann Withers</v>
      </c>
      <c r="J8" s="44">
        <f>IFERROR(__xludf.DUMMYFUNCTION("""COMPUTED_VALUE"""),36874.0)</f>
        <v>36874</v>
      </c>
      <c r="L8" s="31" t="str">
        <f>IFERROR(__xludf.DUMMYFUNCTION("""COMPUTED_VALUE"""),"Ann Withers")</f>
        <v>Ann Withers</v>
      </c>
      <c r="M8" s="43">
        <f>IFERROR(__xludf.DUMMYFUNCTION("""COMPUTED_VALUE"""),36874.0)</f>
        <v>36874</v>
      </c>
    </row>
    <row r="9">
      <c r="I9" s="31" t="str">
        <f>IFERROR(__xludf.DUMMYFUNCTION("""COMPUTED_VALUE"""),"Kim West")</f>
        <v>Kim West</v>
      </c>
      <c r="J9" s="44">
        <f>IFERROR(__xludf.DUMMYFUNCTION("""COMPUTED_VALUE"""),36569.0)</f>
        <v>36569</v>
      </c>
      <c r="L9" s="31" t="str">
        <f>IFERROR(__xludf.DUMMYFUNCTION("""COMPUTED_VALUE"""),"Kim West")</f>
        <v>Kim West</v>
      </c>
      <c r="M9" s="43">
        <f>IFERROR(__xludf.DUMMYFUNCTION("""COMPUTED_VALUE"""),36569.0)</f>
        <v>36569</v>
      </c>
    </row>
    <row r="10">
      <c r="I10" s="31" t="str">
        <f>IFERROR(__xludf.DUMMYFUNCTION("""COMPUTED_VALUE"""),"Daniel Garrett")</f>
        <v>Daniel Garrett</v>
      </c>
      <c r="J10" s="44">
        <f>IFERROR(__xludf.DUMMYFUNCTION("""COMPUTED_VALUE"""),35849.0)</f>
        <v>35849</v>
      </c>
      <c r="L10" s="31" t="str">
        <f>IFERROR(__xludf.DUMMYFUNCTION("""COMPUTED_VALUE"""),"Daniel Garrett")</f>
        <v>Daniel Garrett</v>
      </c>
      <c r="M10" s="43">
        <f>IFERROR(__xludf.DUMMYFUNCTION("""COMPUTED_VALUE"""),35849.0)</f>
        <v>35849</v>
      </c>
    </row>
    <row r="11">
      <c r="I11" s="31" t="str">
        <f>IFERROR(__xludf.DUMMYFUNCTION("""COMPUTED_VALUE"""),"Robert Marquez")</f>
        <v>Robert Marquez</v>
      </c>
      <c r="J11" s="44">
        <f>IFERROR(__xludf.DUMMYFUNCTION("""COMPUTED_VALUE"""),35276.0)</f>
        <v>35276</v>
      </c>
      <c r="L11" s="31" t="str">
        <f>IFERROR(__xludf.DUMMYFUNCTION("""COMPUTED_VALUE"""),"Robert Marquez")</f>
        <v>Robert Marquez</v>
      </c>
      <c r="M11" s="43">
        <f>IFERROR(__xludf.DUMMYFUNCTION("""COMPUTED_VALUE"""),35276.0)</f>
        <v>35276</v>
      </c>
    </row>
    <row r="12">
      <c r="I12" s="31" t="str">
        <f>IFERROR(__xludf.DUMMYFUNCTION("""COMPUTED_VALUE"""),"Vanessa Chavez")</f>
        <v>Vanessa Chavez</v>
      </c>
      <c r="J12" s="44">
        <f>IFERROR(__xludf.DUMMYFUNCTION("""COMPUTED_VALUE"""),35248.0)</f>
        <v>35248</v>
      </c>
      <c r="L12" s="31" t="str">
        <f>IFERROR(__xludf.DUMMYFUNCTION("""COMPUTED_VALUE"""),"Vanessa Chavez")</f>
        <v>Vanessa Chavez</v>
      </c>
      <c r="M12" s="43">
        <f>IFERROR(__xludf.DUMMYFUNCTION("""COMPUTED_VALUE"""),35248.0)</f>
        <v>35248</v>
      </c>
    </row>
    <row r="13">
      <c r="I13" s="31" t="str">
        <f>IFERROR(__xludf.DUMMYFUNCTION("""COMPUTED_VALUE"""),"Robert Musser")</f>
        <v>Robert Musser</v>
      </c>
      <c r="J13" s="44">
        <f>IFERROR(__xludf.DUMMYFUNCTION("""COMPUTED_VALUE"""),35064.0)</f>
        <v>35064</v>
      </c>
      <c r="L13" s="31" t="str">
        <f>IFERROR(__xludf.DUMMYFUNCTION("""COMPUTED_VALUE"""),"Robert Musser")</f>
        <v>Robert Musser</v>
      </c>
      <c r="M13" s="43">
        <f>IFERROR(__xludf.DUMMYFUNCTION("""COMPUTED_VALUE"""),35064.0)</f>
        <v>35064</v>
      </c>
    </row>
    <row r="14">
      <c r="I14" s="31" t="str">
        <f>IFERROR(__xludf.DUMMYFUNCTION("""COMPUTED_VALUE"""),"Jessica Lowe")</f>
        <v>Jessica Lowe</v>
      </c>
      <c r="J14" s="44">
        <f>IFERROR(__xludf.DUMMYFUNCTION("""COMPUTED_VALUE"""),34888.0)</f>
        <v>34888</v>
      </c>
      <c r="L14" s="31" t="str">
        <f>IFERROR(__xludf.DUMMYFUNCTION("""COMPUTED_VALUE"""),"Jessica Lowe")</f>
        <v>Jessica Lowe</v>
      </c>
      <c r="M14" s="43">
        <f>IFERROR(__xludf.DUMMYFUNCTION("""COMPUTED_VALUE"""),34888.0)</f>
        <v>34888</v>
      </c>
    </row>
    <row r="15">
      <c r="I15" s="31" t="str">
        <f>IFERROR(__xludf.DUMMYFUNCTION("""COMPUTED_VALUE"""),"Evie Williamson")</f>
        <v>Evie Williamson</v>
      </c>
      <c r="J15" s="44">
        <f>IFERROR(__xludf.DUMMYFUNCTION("""COMPUTED_VALUE"""),34874.0)</f>
        <v>34874</v>
      </c>
      <c r="L15" s="31" t="str">
        <f>IFERROR(__xludf.DUMMYFUNCTION("""COMPUTED_VALUE"""),"Evie Williamson")</f>
        <v>Evie Williamson</v>
      </c>
      <c r="M15" s="43">
        <f>IFERROR(__xludf.DUMMYFUNCTION("""COMPUTED_VALUE"""),34874.0)</f>
        <v>34874</v>
      </c>
    </row>
    <row r="16">
      <c r="I16" s="31" t="str">
        <f>IFERROR(__xludf.DUMMYFUNCTION("""COMPUTED_VALUE"""),"Skye Bennett")</f>
        <v>Skye Bennett</v>
      </c>
      <c r="J16" s="44">
        <f>IFERROR(__xludf.DUMMYFUNCTION("""COMPUTED_VALUE"""),34822.0)</f>
        <v>34822</v>
      </c>
      <c r="L16" s="31" t="str">
        <f>IFERROR(__xludf.DUMMYFUNCTION("""COMPUTED_VALUE"""),"Skye Bennett")</f>
        <v>Skye Bennett</v>
      </c>
      <c r="M16" s="43">
        <f>IFERROR(__xludf.DUMMYFUNCTION("""COMPUTED_VALUE"""),34822.0)</f>
        <v>34822</v>
      </c>
    </row>
    <row r="17">
      <c r="I17" s="31" t="str">
        <f>IFERROR(__xludf.DUMMYFUNCTION("""COMPUTED_VALUE"""),"Donald Caldwell")</f>
        <v>Donald Caldwell</v>
      </c>
      <c r="J17" s="44">
        <f>IFERROR(__xludf.DUMMYFUNCTION("""COMPUTED_VALUE"""),34530.0)</f>
        <v>34530</v>
      </c>
      <c r="L17" s="31" t="str">
        <f>IFERROR(__xludf.DUMMYFUNCTION("""COMPUTED_VALUE"""),"Donald Caldwell")</f>
        <v>Donald Caldwell</v>
      </c>
      <c r="M17" s="43">
        <f>IFERROR(__xludf.DUMMYFUNCTION("""COMPUTED_VALUE"""),34530.0)</f>
        <v>34530</v>
      </c>
    </row>
    <row r="18">
      <c r="I18" s="31" t="str">
        <f>IFERROR(__xludf.DUMMYFUNCTION("""COMPUTED_VALUE"""),"Amber Stevens")</f>
        <v>Amber Stevens</v>
      </c>
      <c r="J18" s="44">
        <f>IFERROR(__xludf.DUMMYFUNCTION("""COMPUTED_VALUE"""),34468.0)</f>
        <v>34468</v>
      </c>
      <c r="L18" s="31" t="str">
        <f>IFERROR(__xludf.DUMMYFUNCTION("""COMPUTED_VALUE"""),"Amber Stevens")</f>
        <v>Amber Stevens</v>
      </c>
      <c r="M18" s="43">
        <f>IFERROR(__xludf.DUMMYFUNCTION("""COMPUTED_VALUE"""),34468.0)</f>
        <v>34468</v>
      </c>
    </row>
    <row r="19">
      <c r="I19" s="31" t="str">
        <f>IFERROR(__xludf.DUMMYFUNCTION("""COMPUTED_VALUE"""),"Matilda Parry")</f>
        <v>Matilda Parry</v>
      </c>
      <c r="J19" s="44">
        <f>IFERROR(__xludf.DUMMYFUNCTION("""COMPUTED_VALUE"""),32971.0)</f>
        <v>32971</v>
      </c>
      <c r="L19" s="31" t="str">
        <f>IFERROR(__xludf.DUMMYFUNCTION("""COMPUTED_VALUE"""),"Charlie Chambers")</f>
        <v>Charlie Chambers</v>
      </c>
      <c r="M19" s="43">
        <f>IFERROR(__xludf.DUMMYFUNCTION("""COMPUTED_VALUE"""),33268.0)</f>
        <v>33268</v>
      </c>
    </row>
    <row r="20">
      <c r="I20" s="31" t="str">
        <f>IFERROR(__xludf.DUMMYFUNCTION("""COMPUTED_VALUE"""),"Charlie Chambers")</f>
        <v>Charlie Chambers</v>
      </c>
      <c r="J20" s="44">
        <f>IFERROR(__xludf.DUMMYFUNCTION("""COMPUTED_VALUE"""),33268.0)</f>
        <v>33268</v>
      </c>
    </row>
    <row r="21">
      <c r="I21" s="31" t="str">
        <f>IFERROR(__xludf.DUMMYFUNCTION("""COMPUTED_VALUE"""),"Tommy Dixon")</f>
        <v>Tommy Dixon</v>
      </c>
      <c r="J21" s="44">
        <f>IFERROR(__xludf.DUMMYFUNCTION("""COMPUTED_VALUE"""),32893.0)</f>
        <v>32893</v>
      </c>
    </row>
  </sheetData>
  <dataValidations>
    <dataValidation type="list" allowBlank="1" showErrorMessage="1" sqref="D3">
      <formula1>"1,2,3,4,5,6,7,8,9,10,11,12"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63"/>
    <col customWidth="1" min="2" max="2" width="14.75"/>
    <col customWidth="1" min="3" max="3" width="20.5"/>
    <col customWidth="1" min="5" max="5" width="7.0"/>
  </cols>
  <sheetData>
    <row r="2">
      <c r="A2" s="45" t="s">
        <v>162</v>
      </c>
      <c r="B2" s="45" t="s">
        <v>41</v>
      </c>
      <c r="C2" s="45" t="s">
        <v>163</v>
      </c>
      <c r="D2" s="45" t="s">
        <v>164</v>
      </c>
      <c r="E2" s="45" t="s">
        <v>165</v>
      </c>
    </row>
    <row r="3">
      <c r="A3" s="25" t="s">
        <v>166</v>
      </c>
      <c r="B3" s="46" t="s">
        <v>167</v>
      </c>
      <c r="C3" s="25" t="s">
        <v>168</v>
      </c>
      <c r="D3" s="46">
        <v>35305.0</v>
      </c>
      <c r="E3" s="47">
        <v>25709.0</v>
      </c>
    </row>
    <row r="4">
      <c r="A4" s="25" t="s">
        <v>169</v>
      </c>
      <c r="B4" s="46" t="s">
        <v>170</v>
      </c>
      <c r="C4" s="25" t="s">
        <v>171</v>
      </c>
      <c r="D4" s="46">
        <v>34813.0</v>
      </c>
      <c r="E4" s="47">
        <v>25600.0</v>
      </c>
    </row>
    <row r="5">
      <c r="A5" s="25" t="s">
        <v>172</v>
      </c>
      <c r="B5" s="46" t="s">
        <v>173</v>
      </c>
      <c r="C5" s="25" t="s">
        <v>174</v>
      </c>
      <c r="D5" s="46">
        <v>36874.0</v>
      </c>
      <c r="E5" s="47">
        <v>23500.0</v>
      </c>
    </row>
    <row r="6">
      <c r="A6" s="25" t="s">
        <v>166</v>
      </c>
      <c r="B6" s="46" t="s">
        <v>175</v>
      </c>
      <c r="C6" s="25" t="s">
        <v>168</v>
      </c>
      <c r="D6" s="46">
        <v>36569.0</v>
      </c>
      <c r="E6" s="47">
        <v>26500.0</v>
      </c>
    </row>
    <row r="7">
      <c r="A7" s="25" t="s">
        <v>176</v>
      </c>
      <c r="B7" s="46" t="s">
        <v>177</v>
      </c>
      <c r="C7" s="25" t="s">
        <v>178</v>
      </c>
      <c r="D7" s="46">
        <v>35849.0</v>
      </c>
      <c r="E7" s="47">
        <v>24700.0</v>
      </c>
    </row>
    <row r="8">
      <c r="A8" s="25" t="s">
        <v>172</v>
      </c>
      <c r="B8" s="46" t="s">
        <v>179</v>
      </c>
      <c r="C8" s="25" t="s">
        <v>180</v>
      </c>
      <c r="D8" s="46">
        <v>35276.0</v>
      </c>
      <c r="E8" s="47">
        <v>26500.0</v>
      </c>
    </row>
    <row r="9">
      <c r="A9" s="25" t="s">
        <v>169</v>
      </c>
      <c r="B9" s="46" t="s">
        <v>181</v>
      </c>
      <c r="C9" s="25" t="s">
        <v>182</v>
      </c>
      <c r="D9" s="46">
        <v>35248.0</v>
      </c>
      <c r="E9" s="47">
        <v>30600.0</v>
      </c>
    </row>
    <row r="10">
      <c r="A10" s="25" t="s">
        <v>172</v>
      </c>
      <c r="B10" s="46" t="s">
        <v>183</v>
      </c>
      <c r="C10" s="25" t="s">
        <v>180</v>
      </c>
      <c r="D10" s="46">
        <v>35064.0</v>
      </c>
      <c r="E10" s="47">
        <v>28400.0</v>
      </c>
    </row>
    <row r="11">
      <c r="A11" s="25" t="s">
        <v>166</v>
      </c>
      <c r="B11" s="46" t="s">
        <v>184</v>
      </c>
      <c r="C11" s="25" t="s">
        <v>185</v>
      </c>
      <c r="D11" s="46">
        <v>34888.0</v>
      </c>
      <c r="E11" s="47">
        <v>32800.0</v>
      </c>
    </row>
    <row r="12">
      <c r="A12" s="25" t="s">
        <v>166</v>
      </c>
      <c r="B12" s="46" t="s">
        <v>186</v>
      </c>
      <c r="C12" s="25" t="s">
        <v>185</v>
      </c>
      <c r="D12" s="46">
        <v>34874.0</v>
      </c>
      <c r="E12" s="47">
        <v>25900.0</v>
      </c>
    </row>
    <row r="13">
      <c r="A13" s="25" t="s">
        <v>176</v>
      </c>
      <c r="B13" s="46" t="s">
        <v>187</v>
      </c>
      <c r="C13" s="25" t="s">
        <v>178</v>
      </c>
      <c r="D13" s="46">
        <v>34822.0</v>
      </c>
      <c r="E13" s="47">
        <v>26900.0</v>
      </c>
    </row>
    <row r="14">
      <c r="A14" s="25" t="s">
        <v>176</v>
      </c>
      <c r="B14" s="46" t="s">
        <v>188</v>
      </c>
      <c r="C14" s="25" t="s">
        <v>178</v>
      </c>
      <c r="D14" s="46">
        <v>29873.0</v>
      </c>
      <c r="E14" s="47">
        <v>47200.0</v>
      </c>
    </row>
    <row r="15">
      <c r="A15" s="25" t="s">
        <v>176</v>
      </c>
      <c r="B15" s="46" t="s">
        <v>189</v>
      </c>
      <c r="C15" s="25" t="s">
        <v>190</v>
      </c>
      <c r="D15" s="46">
        <v>34530.0</v>
      </c>
      <c r="E15" s="47">
        <v>29800.0</v>
      </c>
    </row>
    <row r="16">
      <c r="A16" s="25" t="s">
        <v>169</v>
      </c>
      <c r="B16" s="46" t="s">
        <v>191</v>
      </c>
      <c r="C16" s="25" t="s">
        <v>192</v>
      </c>
      <c r="D16" s="46">
        <v>34468.0</v>
      </c>
      <c r="E16" s="47">
        <v>31200.0</v>
      </c>
    </row>
    <row r="17">
      <c r="A17" s="25" t="s">
        <v>169</v>
      </c>
      <c r="B17" s="46" t="s">
        <v>193</v>
      </c>
      <c r="C17" s="25" t="s">
        <v>194</v>
      </c>
      <c r="D17" s="46">
        <v>32971.0</v>
      </c>
      <c r="E17" s="47">
        <v>49500.0</v>
      </c>
    </row>
    <row r="18">
      <c r="A18" s="25" t="s">
        <v>169</v>
      </c>
      <c r="B18" s="46" t="s">
        <v>195</v>
      </c>
      <c r="C18" s="25" t="s">
        <v>196</v>
      </c>
      <c r="D18" s="46">
        <v>30191.0</v>
      </c>
      <c r="E18" s="47">
        <v>58300.0</v>
      </c>
    </row>
    <row r="19">
      <c r="A19" s="25" t="s">
        <v>169</v>
      </c>
      <c r="B19" s="46" t="s">
        <v>197</v>
      </c>
      <c r="C19" s="25" t="s">
        <v>196</v>
      </c>
      <c r="D19" s="46">
        <v>33268.0</v>
      </c>
      <c r="E19" s="47">
        <v>36400.0</v>
      </c>
    </row>
    <row r="20">
      <c r="A20" s="25" t="s">
        <v>166</v>
      </c>
      <c r="B20" s="46" t="s">
        <v>198</v>
      </c>
      <c r="C20" s="25" t="s">
        <v>199</v>
      </c>
      <c r="D20" s="46">
        <v>32893.0</v>
      </c>
      <c r="E20" s="47">
        <v>38500.0</v>
      </c>
    </row>
    <row r="21">
      <c r="A21" s="25" t="s">
        <v>166</v>
      </c>
      <c r="B21" s="46" t="s">
        <v>200</v>
      </c>
      <c r="C21" s="25" t="s">
        <v>201</v>
      </c>
      <c r="D21" s="46">
        <v>32718.0</v>
      </c>
      <c r="E21" s="47">
        <v>39400.0</v>
      </c>
    </row>
    <row r="22">
      <c r="A22" s="25" t="s">
        <v>166</v>
      </c>
      <c r="B22" s="46" t="s">
        <v>202</v>
      </c>
      <c r="C22" s="25" t="s">
        <v>199</v>
      </c>
      <c r="D22" s="46">
        <v>32030.0</v>
      </c>
      <c r="E22" s="47">
        <v>42500.0</v>
      </c>
    </row>
    <row r="23">
      <c r="A23" s="25" t="s">
        <v>176</v>
      </c>
      <c r="B23" s="46" t="s">
        <v>203</v>
      </c>
      <c r="C23" s="25" t="s">
        <v>190</v>
      </c>
      <c r="D23" s="46">
        <v>31334.0</v>
      </c>
      <c r="E23" s="47">
        <v>49727.0</v>
      </c>
    </row>
    <row r="24">
      <c r="A24" s="25" t="s">
        <v>176</v>
      </c>
      <c r="B24" s="46" t="s">
        <v>204</v>
      </c>
      <c r="C24" s="25" t="s">
        <v>205</v>
      </c>
      <c r="D24" s="46">
        <v>30845.0</v>
      </c>
      <c r="E24" s="47">
        <v>49000.0</v>
      </c>
    </row>
    <row r="25">
      <c r="A25" s="25" t="s">
        <v>169</v>
      </c>
      <c r="B25" s="46" t="s">
        <v>206</v>
      </c>
      <c r="C25" s="25" t="s">
        <v>207</v>
      </c>
      <c r="D25" s="46">
        <v>29121.0</v>
      </c>
      <c r="E25" s="47">
        <v>79600.0</v>
      </c>
    </row>
    <row r="26">
      <c r="A26" s="25" t="s">
        <v>169</v>
      </c>
      <c r="B26" s="46" t="s">
        <v>208</v>
      </c>
      <c r="C26" s="25" t="s">
        <v>209</v>
      </c>
      <c r="D26" s="46">
        <v>30805.0</v>
      </c>
      <c r="E26" s="47">
        <v>56500.0</v>
      </c>
    </row>
    <row r="27">
      <c r="A27" s="25" t="s">
        <v>172</v>
      </c>
      <c r="B27" s="46" t="s">
        <v>210</v>
      </c>
      <c r="C27" s="25" t="s">
        <v>211</v>
      </c>
      <c r="D27" s="46">
        <v>30324.0</v>
      </c>
      <c r="E27" s="47">
        <v>59900.0</v>
      </c>
    </row>
    <row r="28">
      <c r="A28" s="25" t="s">
        <v>172</v>
      </c>
      <c r="B28" s="46" t="s">
        <v>212</v>
      </c>
      <c r="C28" s="25" t="s">
        <v>180</v>
      </c>
      <c r="D28" s="46">
        <v>30265.0</v>
      </c>
      <c r="E28" s="47">
        <v>48500.0</v>
      </c>
    </row>
    <row r="29">
      <c r="A29" s="25" t="s">
        <v>166</v>
      </c>
      <c r="B29" s="46" t="s">
        <v>213</v>
      </c>
      <c r="C29" s="25" t="s">
        <v>214</v>
      </c>
      <c r="D29" s="46">
        <v>29931.0</v>
      </c>
      <c r="E29" s="47">
        <v>41200.0</v>
      </c>
    </row>
    <row r="30">
      <c r="A30" s="25" t="s">
        <v>166</v>
      </c>
      <c r="B30" s="46" t="s">
        <v>215</v>
      </c>
      <c r="C30" s="25" t="s">
        <v>216</v>
      </c>
      <c r="D30" s="46">
        <v>29895.0</v>
      </c>
      <c r="E30" s="47">
        <v>52100.0</v>
      </c>
    </row>
    <row r="31">
      <c r="A31" s="25" t="s">
        <v>172</v>
      </c>
      <c r="B31" s="46" t="s">
        <v>217</v>
      </c>
      <c r="C31" s="25" t="s">
        <v>211</v>
      </c>
      <c r="D31" s="46">
        <v>29122.0</v>
      </c>
      <c r="E31" s="47">
        <v>65200.0</v>
      </c>
    </row>
    <row r="32">
      <c r="A32" s="25" t="s">
        <v>172</v>
      </c>
      <c r="B32" s="46" t="s">
        <v>218</v>
      </c>
      <c r="C32" s="25" t="s">
        <v>180</v>
      </c>
      <c r="D32" s="46">
        <v>29071.0</v>
      </c>
      <c r="E32" s="47">
        <v>54600.0</v>
      </c>
    </row>
    <row r="33">
      <c r="A33" s="25" t="s">
        <v>172</v>
      </c>
      <c r="B33" s="46" t="s">
        <v>219</v>
      </c>
      <c r="C33" s="25" t="s">
        <v>180</v>
      </c>
      <c r="D33" s="46">
        <v>28838.0</v>
      </c>
      <c r="E33" s="47">
        <v>51300.0</v>
      </c>
    </row>
    <row r="34">
      <c r="A34" s="25" t="s">
        <v>172</v>
      </c>
      <c r="B34" s="46" t="s">
        <v>220</v>
      </c>
      <c r="C34" s="25" t="s">
        <v>221</v>
      </c>
      <c r="D34" s="46">
        <v>28775.0</v>
      </c>
      <c r="E34" s="47">
        <v>102500.0</v>
      </c>
    </row>
    <row r="35">
      <c r="A35" s="25" t="s">
        <v>176</v>
      </c>
      <c r="B35" s="46" t="s">
        <v>222</v>
      </c>
      <c r="C35" s="25" t="s">
        <v>223</v>
      </c>
      <c r="D35" s="46">
        <v>28498.0</v>
      </c>
      <c r="E35" s="47">
        <v>65270.0</v>
      </c>
    </row>
    <row r="36">
      <c r="A36" s="25" t="s">
        <v>176</v>
      </c>
      <c r="B36" s="46" t="s">
        <v>224</v>
      </c>
      <c r="C36" s="25" t="s">
        <v>225</v>
      </c>
      <c r="D36" s="46">
        <v>28324.0</v>
      </c>
      <c r="E36" s="47">
        <v>78600.0</v>
      </c>
    </row>
    <row r="37">
      <c r="A37" s="25" t="s">
        <v>176</v>
      </c>
      <c r="B37" s="46" t="s">
        <v>226</v>
      </c>
      <c r="C37" s="25" t="s">
        <v>227</v>
      </c>
      <c r="D37" s="46">
        <v>27735.0</v>
      </c>
      <c r="E37" s="47">
        <v>145000.0</v>
      </c>
    </row>
    <row r="38">
      <c r="A38" s="25" t="s">
        <v>172</v>
      </c>
      <c r="B38" s="46" t="s">
        <v>228</v>
      </c>
      <c r="C38" s="25" t="s">
        <v>221</v>
      </c>
      <c r="D38" s="46">
        <v>27694.0</v>
      </c>
      <c r="E38" s="47">
        <v>86055.0</v>
      </c>
    </row>
    <row r="39">
      <c r="A39" s="25" t="s">
        <v>166</v>
      </c>
      <c r="B39" s="46" t="s">
        <v>229</v>
      </c>
      <c r="C39" s="25" t="s">
        <v>230</v>
      </c>
      <c r="D39" s="46">
        <v>28557.0</v>
      </c>
      <c r="E39" s="47">
        <v>125600.0</v>
      </c>
    </row>
    <row r="40">
      <c r="A40" s="25" t="s">
        <v>176</v>
      </c>
      <c r="B40" s="46" t="s">
        <v>231</v>
      </c>
      <c r="C40" s="25" t="s">
        <v>232</v>
      </c>
      <c r="D40" s="46">
        <v>30416.0</v>
      </c>
      <c r="E40" s="47">
        <v>86500.0</v>
      </c>
    </row>
    <row r="41">
      <c r="A41" s="25" t="s">
        <v>176</v>
      </c>
      <c r="B41" s="46" t="s">
        <v>233</v>
      </c>
      <c r="C41" s="25" t="s">
        <v>234</v>
      </c>
      <c r="D41" s="46">
        <v>26761.0</v>
      </c>
      <c r="E41" s="47">
        <v>108357.0</v>
      </c>
    </row>
    <row r="42">
      <c r="A42" s="25" t="s">
        <v>166</v>
      </c>
      <c r="B42" s="46" t="s">
        <v>235</v>
      </c>
      <c r="C42" s="25" t="s">
        <v>236</v>
      </c>
      <c r="D42" s="46">
        <v>24097.0</v>
      </c>
      <c r="E42" s="47">
        <v>115000.0</v>
      </c>
    </row>
    <row r="43">
      <c r="A43" s="25" t="s">
        <v>172</v>
      </c>
      <c r="B43" s="46" t="s">
        <v>237</v>
      </c>
      <c r="C43" s="25" t="s">
        <v>238</v>
      </c>
      <c r="D43" s="46">
        <v>26567.0</v>
      </c>
      <c r="E43" s="47">
        <v>142000.0</v>
      </c>
    </row>
    <row r="44">
      <c r="A44" s="25" t="s">
        <v>166</v>
      </c>
      <c r="B44" s="46" t="s">
        <v>239</v>
      </c>
      <c r="C44" s="25" t="s">
        <v>240</v>
      </c>
      <c r="D44" s="46">
        <v>26565.0</v>
      </c>
      <c r="E44" s="47">
        <v>141200.0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63"/>
    <col customWidth="1" min="5" max="5" width="18.88"/>
  </cols>
  <sheetData>
    <row r="1">
      <c r="A1" s="17" t="s">
        <v>241</v>
      </c>
      <c r="B1" s="18"/>
      <c r="C1" s="18"/>
      <c r="F1" s="17" t="s">
        <v>242</v>
      </c>
      <c r="G1" s="17"/>
      <c r="H1" s="17"/>
      <c r="I1" s="17"/>
    </row>
    <row r="2">
      <c r="A2" s="25" t="s">
        <v>243</v>
      </c>
      <c r="F2" s="25" t="s">
        <v>244</v>
      </c>
    </row>
    <row r="3">
      <c r="F3" s="25" t="s">
        <v>245</v>
      </c>
      <c r="G3" s="19" t="s">
        <v>246</v>
      </c>
    </row>
    <row r="4">
      <c r="A4" s="30" t="str">
        <f>IFERROR(__xludf.DUMMYFUNCTION("query({HR!A2:E44;'HR New'!A2:E20},""select Col1, count(Col1) where Col1 &lt;&gt; 'Department' and Col1 is not null group by Col1 order by count(Col1) desc label count(Col1) 'Employee Count'"",1)"),"Department")</f>
        <v>Department</v>
      </c>
      <c r="B4" s="8" t="str">
        <f>IFERROR(__xludf.DUMMYFUNCTION("""COMPUTED_VALUE"""),"Employee Count")</f>
        <v>Employee Count</v>
      </c>
      <c r="F4" s="25" t="s">
        <v>247</v>
      </c>
      <c r="G4" s="25" t="s">
        <v>248</v>
      </c>
    </row>
    <row r="5">
      <c r="A5" s="31" t="str">
        <f>IFERROR(__xludf.DUMMYFUNCTION("""COMPUTED_VALUE"""),"Sales")</f>
        <v>Sales</v>
      </c>
      <c r="B5" s="31">
        <f>IFERROR(__xludf.DUMMYFUNCTION("""COMPUTED_VALUE"""),14.0)</f>
        <v>14</v>
      </c>
      <c r="F5" s="25" t="s">
        <v>247</v>
      </c>
      <c r="G5" s="25" t="s">
        <v>249</v>
      </c>
    </row>
    <row r="6">
      <c r="A6" s="31" t="str">
        <f>IFERROR(__xludf.DUMMYFUNCTION("""COMPUTED_VALUE"""),"Finance")</f>
        <v>Finance</v>
      </c>
      <c r="B6" s="31">
        <f>IFERROR(__xludf.DUMMYFUNCTION("""COMPUTED_VALUE"""),12.0)</f>
        <v>12</v>
      </c>
    </row>
    <row r="7">
      <c r="A7" s="31" t="str">
        <f>IFERROR(__xludf.DUMMYFUNCTION("""COMPUTED_VALUE"""),"Procurement")</f>
        <v>Procurement</v>
      </c>
      <c r="B7" s="31">
        <f>IFERROR(__xludf.DUMMYFUNCTION("""COMPUTED_VALUE"""),11.0)</f>
        <v>11</v>
      </c>
      <c r="F7" s="30" t="str">
        <f>IFERROR(__xludf.DUMMYFUNCTION("query({IMPORTRANGE(G3,G4);IMPORTRANGE(G3,G5)},""select Col1, count(Col1) where Col1 is not null group by Col1 order by count(Col1) desc label Col1 'Department', count(Col1) 'Employee Count'"",0)"),"Department")</f>
        <v>Department</v>
      </c>
      <c r="G7" s="8" t="str">
        <f>IFERROR(__xludf.DUMMYFUNCTION("""COMPUTED_VALUE"""),"Employee Count")</f>
        <v>Employee Count</v>
      </c>
    </row>
    <row r="8">
      <c r="A8" s="31" t="str">
        <f>IFERROR(__xludf.DUMMYFUNCTION("""COMPUTED_VALUE"""),"Marketing")</f>
        <v>Marketing</v>
      </c>
      <c r="B8" s="31">
        <f>IFERROR(__xludf.DUMMYFUNCTION("""COMPUTED_VALUE"""),8.0)</f>
        <v>8</v>
      </c>
      <c r="F8" s="31" t="str">
        <f>IFERROR(__xludf.DUMMYFUNCTION("""COMPUTED_VALUE"""),"Sales")</f>
        <v>Sales</v>
      </c>
      <c r="G8" s="31">
        <f>IFERROR(__xludf.DUMMYFUNCTION("""COMPUTED_VALUE"""),14.0)</f>
        <v>14</v>
      </c>
    </row>
    <row r="9">
      <c r="A9" s="31" t="str">
        <f>IFERROR(__xludf.DUMMYFUNCTION("""COMPUTED_VALUE"""),"Legal")</f>
        <v>Legal</v>
      </c>
      <c r="B9" s="31">
        <f>IFERROR(__xludf.DUMMYFUNCTION("""COMPUTED_VALUE"""),2.0)</f>
        <v>2</v>
      </c>
      <c r="F9" s="31" t="str">
        <f>IFERROR(__xludf.DUMMYFUNCTION("""COMPUTED_VALUE"""),"Finance")</f>
        <v>Finance</v>
      </c>
      <c r="G9" s="31">
        <f>IFERROR(__xludf.DUMMYFUNCTION("""COMPUTED_VALUE"""),12.0)</f>
        <v>12</v>
      </c>
    </row>
    <row r="10">
      <c r="A10" s="31" t="str">
        <f>IFERROR(__xludf.DUMMYFUNCTION("""COMPUTED_VALUE"""),"Management")</f>
        <v>Management</v>
      </c>
      <c r="B10" s="31">
        <f>IFERROR(__xludf.DUMMYFUNCTION("""COMPUTED_VALUE"""),2.0)</f>
        <v>2</v>
      </c>
      <c r="F10" s="31" t="str">
        <f>IFERROR(__xludf.DUMMYFUNCTION("""COMPUTED_VALUE"""),"Procurement")</f>
        <v>Procurement</v>
      </c>
      <c r="G10" s="31">
        <f>IFERROR(__xludf.DUMMYFUNCTION("""COMPUTED_VALUE"""),11.0)</f>
        <v>11</v>
      </c>
    </row>
    <row r="11">
      <c r="F11" s="31" t="str">
        <f>IFERROR(__xludf.DUMMYFUNCTION("""COMPUTED_VALUE"""),"Marketing")</f>
        <v>Marketing</v>
      </c>
      <c r="G11" s="31">
        <f>IFERROR(__xludf.DUMMYFUNCTION("""COMPUTED_VALUE"""),8.0)</f>
        <v>8</v>
      </c>
    </row>
    <row r="12">
      <c r="F12" s="31" t="str">
        <f>IFERROR(__xludf.DUMMYFUNCTION("""COMPUTED_VALUE"""),"Legal")</f>
        <v>Legal</v>
      </c>
      <c r="G12" s="31">
        <f>IFERROR(__xludf.DUMMYFUNCTION("""COMPUTED_VALUE"""),2.0)</f>
        <v>2</v>
      </c>
    </row>
    <row r="13">
      <c r="F13" s="31" t="str">
        <f>IFERROR(__xludf.DUMMYFUNCTION("""COMPUTED_VALUE"""),"Management")</f>
        <v>Management</v>
      </c>
      <c r="G13" s="31">
        <f>IFERROR(__xludf.DUMMYFUNCTION("""COMPUTED_VALUE"""),2.0)</f>
        <v>2</v>
      </c>
    </row>
    <row r="17">
      <c r="F17" s="30"/>
    </row>
  </sheetData>
  <hyperlinks>
    <hyperlink r:id="rId1" ref="G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9.25"/>
  </cols>
  <sheetData>
    <row r="2">
      <c r="A2" s="7" t="s">
        <v>162</v>
      </c>
      <c r="B2" s="7" t="s">
        <v>41</v>
      </c>
      <c r="C2" s="7" t="s">
        <v>163</v>
      </c>
      <c r="D2" s="7" t="s">
        <v>164</v>
      </c>
      <c r="E2" s="7" t="s">
        <v>165</v>
      </c>
    </row>
    <row r="3">
      <c r="A3" s="28" t="s">
        <v>166</v>
      </c>
      <c r="B3" s="31" t="s">
        <v>250</v>
      </c>
      <c r="C3" s="28" t="s">
        <v>251</v>
      </c>
      <c r="D3" s="46">
        <v>28516.0</v>
      </c>
      <c r="E3" s="28">
        <v>70270.0</v>
      </c>
    </row>
    <row r="4">
      <c r="A4" s="28" t="s">
        <v>166</v>
      </c>
      <c r="B4" s="31" t="s">
        <v>252</v>
      </c>
      <c r="C4" s="28" t="s">
        <v>185</v>
      </c>
      <c r="D4" s="46">
        <v>27221.0</v>
      </c>
      <c r="E4" s="28">
        <v>59600.0</v>
      </c>
    </row>
    <row r="5">
      <c r="A5" s="28" t="s">
        <v>176</v>
      </c>
      <c r="B5" s="31" t="s">
        <v>253</v>
      </c>
      <c r="C5" s="28" t="s">
        <v>232</v>
      </c>
      <c r="D5" s="46">
        <v>26920.0</v>
      </c>
      <c r="E5" s="28">
        <v>88300.0</v>
      </c>
    </row>
    <row r="6">
      <c r="A6" s="28" t="s">
        <v>254</v>
      </c>
      <c r="B6" s="31" t="s">
        <v>255</v>
      </c>
      <c r="C6" s="28" t="s">
        <v>256</v>
      </c>
      <c r="D6" s="46">
        <v>26416.0</v>
      </c>
      <c r="E6" s="28">
        <v>185000.0</v>
      </c>
    </row>
    <row r="7">
      <c r="A7" s="28" t="s">
        <v>254</v>
      </c>
      <c r="B7" s="31" t="s">
        <v>257</v>
      </c>
      <c r="C7" s="28" t="s">
        <v>258</v>
      </c>
      <c r="D7" s="46">
        <v>28989.0</v>
      </c>
      <c r="E7" s="28">
        <v>55800.0</v>
      </c>
    </row>
    <row r="8">
      <c r="A8" s="28" t="s">
        <v>259</v>
      </c>
      <c r="B8" s="31" t="s">
        <v>260</v>
      </c>
      <c r="C8" s="28" t="s">
        <v>261</v>
      </c>
      <c r="D8" s="46">
        <v>25893.0</v>
      </c>
      <c r="E8" s="28">
        <v>125000.0</v>
      </c>
    </row>
    <row r="9">
      <c r="A9" s="28" t="s">
        <v>259</v>
      </c>
      <c r="B9" s="31" t="s">
        <v>262</v>
      </c>
      <c r="C9" s="28" t="s">
        <v>263</v>
      </c>
      <c r="D9" s="46">
        <v>25872.0</v>
      </c>
      <c r="E9" s="28">
        <v>91000.0</v>
      </c>
    </row>
  </sheetData>
  <drawing r:id="rId1"/>
</worksheet>
</file>