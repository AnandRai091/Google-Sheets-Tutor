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Sort" sheetId="2" r:id="rId6"/>
    <sheet state="visible" name="Filter" sheetId="3" r:id="rId7"/>
    <sheet state="visible" name="Challenge#1" sheetId="4" r:id="rId8"/>
    <sheet state="visible" name="Clean" sheetId="5" r:id="rId9"/>
    <sheet state="visible" name="Replace" sheetId="6" r:id="rId10"/>
    <sheet state="visible" name="Challenge#2" sheetId="7" r:id="rId11"/>
  </sheets>
  <definedNames>
    <definedName hidden="1" localSheetId="2" name="_xlnm._FilterDatabase">Filter!$A$7:$D$49</definedName>
    <definedName hidden="1" localSheetId="3" name="_xlnm._FilterDatabase">'Challenge#1'!$A$7:$H$99</definedName>
    <definedName hidden="1" localSheetId="2" name="Z_3FAA43E5_F17D_4D94_BBDC_8D14E761B288_.wvu.FilterData">Filter!$A$7:$D$49</definedName>
    <definedName hidden="1" localSheetId="2" name="Z_5D779767_9C89_4659_84EF_32C63EB0C3A9_.wvu.FilterData">Filter!$A$7:$D$49</definedName>
  </definedNames>
  <calcPr/>
  <customWorkbookViews>
    <customWorkbookView activeSheetId="0" maximized="1" windowHeight="0" windowWidth="0" guid="{3FAA43E5-F17D-4D94-BBDC-8D14E761B288}" name="Sales dept over 40k"/>
    <customWorkbookView activeSheetId="0" maximized="1" windowHeight="0" windowWidth="0" guid="{5D779767-9C89-4659-84EF-32C63EB0C3A9}" name="Manager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An index column helps keep the original sort order.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Use COUNTA to filter out the 0 values and delete the rows. Filter out the values that are not equal to 7 and copy and paste the rows to another sheet.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Use Remove Duplicates from the Data menu</t>
      </text>
    </comment>
    <comment authorId="0" ref="L4">
      <text>
        <t xml:space="preserve">Use Trim Whitespace first from the Data menu, then Remove Duplicates and finally Split Text to Columns (use - for delimiter in the custom option)</t>
      </text>
    </comment>
    <comment authorId="0" ref="A4">
      <text>
        <t xml:space="preserve">Use Split Text to Columns from the Data menu.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RegEx with (.+) .+ (.+) and replace with $1 $2</t>
      </text>
    </comment>
    <comment authorId="0" ref="I4">
      <text>
        <t xml:space="preserve">RegEx search and replace with " \(.+\)" and leave the replace box empty.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You learn how to create this in Section 12 (Charts to impress).</t>
      </text>
    </comment>
    <comment authorId="0" ref="H1">
      <text>
        <t xml:space="preserve">This is created with conditional formatting.</t>
      </text>
    </comment>
  </commentList>
</comments>
</file>

<file path=xl/sharedStrings.xml><?xml version="1.0" encoding="utf-8"?>
<sst xmlns="http://schemas.openxmlformats.org/spreadsheetml/2006/main" count="1304" uniqueCount="201">
  <si>
    <t>Google Sheets Essentials</t>
  </si>
  <si>
    <t>Sorting, Filtering and Cleaning Data</t>
  </si>
  <si>
    <t>LINK</t>
  </si>
  <si>
    <t>TOPIC</t>
  </si>
  <si>
    <t>COMPREHENSION</t>
  </si>
  <si>
    <t>YOUR NOTES</t>
  </si>
  <si>
    <t>Sort Feature &amp; What You Shouldn't Do</t>
  </si>
  <si>
    <t>Select One…</t>
  </si>
  <si>
    <t>Filter &amp; Filter View in Sheets</t>
  </si>
  <si>
    <t>Calculations based on Filtered Results (SubTotal)</t>
  </si>
  <si>
    <t>Challenge: Delete Empty rows in Data</t>
  </si>
  <si>
    <t>Split Text, Remove Duplicates and Trim Spaces</t>
  </si>
  <si>
    <t>Find &amp; Replace Values</t>
  </si>
  <si>
    <t>Challenge: Which Items Does Each Customer Order?</t>
  </si>
  <si>
    <t>Sort By Department first, then by Position</t>
  </si>
  <si>
    <t xml:space="preserve">Unsort by adding an Index column to your data -&gt; This way you can sort and unsort </t>
  </si>
  <si>
    <t>Original data</t>
  </si>
  <si>
    <t>Name</t>
  </si>
  <si>
    <t>Department</t>
  </si>
  <si>
    <t>Position</t>
  </si>
  <si>
    <t>Salary</t>
  </si>
  <si>
    <t>index</t>
  </si>
  <si>
    <t>Walter Miller</t>
  </si>
  <si>
    <t>Sales</t>
  </si>
  <si>
    <t>Assistant</t>
  </si>
  <si>
    <t>Daniel Garrett</t>
  </si>
  <si>
    <t>Finance</t>
  </si>
  <si>
    <t>Accountant</t>
  </si>
  <si>
    <t>Alissa Mitchell</t>
  </si>
  <si>
    <t>Marketing</t>
  </si>
  <si>
    <t>Analyst</t>
  </si>
  <si>
    <t>Skye Bennett</t>
  </si>
  <si>
    <t>Ann Withers</t>
  </si>
  <si>
    <t>Procurement</t>
  </si>
  <si>
    <t>Braeden Wilkins</t>
  </si>
  <si>
    <t>Kim West</t>
  </si>
  <si>
    <t>Donald Caldwell</t>
  </si>
  <si>
    <t>Richard Elliot</t>
  </si>
  <si>
    <t>Robert Marquez</t>
  </si>
  <si>
    <t>Buyer</t>
  </si>
  <si>
    <t>Lukas Hofer</t>
  </si>
  <si>
    <t>Vanessa Chavez</t>
  </si>
  <si>
    <t>Gary Miller</t>
  </si>
  <si>
    <t>Controller</t>
  </si>
  <si>
    <t>Robert Musser</t>
  </si>
  <si>
    <t>Crystal Doyle</t>
  </si>
  <si>
    <t>Finance Director</t>
  </si>
  <si>
    <t>Jessica Lowe</t>
  </si>
  <si>
    <t>Sales Representative</t>
  </si>
  <si>
    <t>Paul Hill</t>
  </si>
  <si>
    <t>Finance Manager</t>
  </si>
  <si>
    <t>Evie Williamson</t>
  </si>
  <si>
    <t>Holly Macdonald</t>
  </si>
  <si>
    <t>Insurance Advisor</t>
  </si>
  <si>
    <t>Imogen Clarke</t>
  </si>
  <si>
    <t>Tax Professional</t>
  </si>
  <si>
    <t>Amber Stevens</t>
  </si>
  <si>
    <t>Project Manager</t>
  </si>
  <si>
    <t>Jordan Parry</t>
  </si>
  <si>
    <t>Digital Marketing</t>
  </si>
  <si>
    <t>Matilda Parry</t>
  </si>
  <si>
    <t>Digital Marketing Manager</t>
  </si>
  <si>
    <t>Charlie Chambers</t>
  </si>
  <si>
    <t>Judy Bell</t>
  </si>
  <si>
    <t>Marketing Manager</t>
  </si>
  <si>
    <t>Tommy Dixon</t>
  </si>
  <si>
    <t>Robert Hurley</t>
  </si>
  <si>
    <t>Sales Reporting</t>
  </si>
  <si>
    <t>Heidi Medina</t>
  </si>
  <si>
    <t>Projects Lead</t>
  </si>
  <si>
    <t>Harry Burke</t>
  </si>
  <si>
    <t>Esme Carney</t>
  </si>
  <si>
    <t>Betina Bauer</t>
  </si>
  <si>
    <t>Matthew Ross</t>
  </si>
  <si>
    <t>Lead Buyer</t>
  </si>
  <si>
    <t>Cora Briggs</t>
  </si>
  <si>
    <t>Mike Saban</t>
  </si>
  <si>
    <t>Category Manager</t>
  </si>
  <si>
    <t>Zac Fletcher</t>
  </si>
  <si>
    <t>Sales Projects</t>
  </si>
  <si>
    <t>Corinna Schmidt</t>
  </si>
  <si>
    <t>Kristina Mclean</t>
  </si>
  <si>
    <t>Sales Project Manager</t>
  </si>
  <si>
    <t>Tom Wood</t>
  </si>
  <si>
    <t>Alex Collins</t>
  </si>
  <si>
    <t>Procurement Manager</t>
  </si>
  <si>
    <t>Robert Richardson</t>
  </si>
  <si>
    <t>Head of Sales</t>
  </si>
  <si>
    <t>Brigitte Bond</t>
  </si>
  <si>
    <t>Sales Manager</t>
  </si>
  <si>
    <t>Stevie Bridge</t>
  </si>
  <si>
    <t>Sales Reporting Head</t>
  </si>
  <si>
    <t>Filter &amp; Filter Views</t>
  </si>
  <si>
    <t>Filter to find what you need and save the filter view -&gt; There are 2 filter views saved on this sheet.</t>
  </si>
  <si>
    <t>Number of employees</t>
  </si>
  <si>
    <t>Total Salary</t>
  </si>
  <si>
    <t>Average Salary</t>
  </si>
  <si>
    <t>Challenge: Delete Empty Rows in Data &amp; Filter for Incomplete Data</t>
  </si>
  <si>
    <t xml:space="preserve">You receive the data set below but it has issues. </t>
  </si>
  <si>
    <t>You need to delete empty rows (make sure the entire row is empty and not just a specific column)</t>
  </si>
  <si>
    <t>You need to get a list of incomplete records - copy and paste this to a separate tab</t>
  </si>
  <si>
    <t>If you need a hint - place a checkmark in the box here --&gt;</t>
  </si>
  <si>
    <t>An additional "helper" column (..that counts) could help here</t>
  </si>
  <si>
    <t>Company ID</t>
  </si>
  <si>
    <t>Sales Document</t>
  </si>
  <si>
    <t>Document Date</t>
  </si>
  <si>
    <t>Customer Name</t>
  </si>
  <si>
    <t>Item Description</t>
  </si>
  <si>
    <t>Quantity</t>
  </si>
  <si>
    <t>Sales $</t>
  </si>
  <si>
    <t>Help</t>
  </si>
  <si>
    <t>1010US</t>
  </si>
  <si>
    <t>Dellicia</t>
  </si>
  <si>
    <t>Men type T simple (Black)</t>
  </si>
  <si>
    <t>Men type T simple (Brown)</t>
  </si>
  <si>
    <t>Men shorts (Gray)</t>
  </si>
  <si>
    <t>Erma</t>
  </si>
  <si>
    <t>Women dress Cocktail (Red)</t>
  </si>
  <si>
    <t>Men shorts (Black)</t>
  </si>
  <si>
    <t>Women crop top (Black)</t>
  </si>
  <si>
    <t>Men type T simple (White)</t>
  </si>
  <si>
    <t>Men dress shirt (Gray)</t>
  </si>
  <si>
    <t>Men dress shirt (Black)</t>
  </si>
  <si>
    <t>Men dress shirt (White)</t>
  </si>
  <si>
    <t>Women dress long (Black)</t>
  </si>
  <si>
    <t>Laptop bag (Black)</t>
  </si>
  <si>
    <t>Women type T simple (White)</t>
  </si>
  <si>
    <t>Women type T simple (Red)</t>
  </si>
  <si>
    <t>Unisex tank top (Black)</t>
  </si>
  <si>
    <t>Laptop bag (Red)</t>
  </si>
  <si>
    <t>Women type T simple (Black)</t>
  </si>
  <si>
    <t>Smartphone case diamond</t>
  </si>
  <si>
    <t>Unisex tank top (White)</t>
  </si>
  <si>
    <t>Smartphone case simple</t>
  </si>
  <si>
    <t>Split first name and last name</t>
  </si>
  <si>
    <t>Split the details to separate columns</t>
  </si>
  <si>
    <t>Remove Duplicates to get a distinct list</t>
  </si>
  <si>
    <t>Remove duplicates &amp; Split color to a separate column</t>
  </si>
  <si>
    <t>Details</t>
  </si>
  <si>
    <t>Walter</t>
  </si>
  <si>
    <t>Miller</t>
  </si>
  <si>
    <t>Men type T simple</t>
  </si>
  <si>
    <t>Brown</t>
  </si>
  <si>
    <t>Alissa</t>
  </si>
  <si>
    <t>Mitchell</t>
  </si>
  <si>
    <t>Men shorts</t>
  </si>
  <si>
    <t>Gray</t>
  </si>
  <si>
    <t>Ann</t>
  </si>
  <si>
    <t>Withers</t>
  </si>
  <si>
    <t>Women dress Cocktail</t>
  </si>
  <si>
    <t>Red</t>
  </si>
  <si>
    <t>Kim</t>
  </si>
  <si>
    <t>West</t>
  </si>
  <si>
    <t>Women Dress long</t>
  </si>
  <si>
    <t>Black</t>
  </si>
  <si>
    <t>Daniel</t>
  </si>
  <si>
    <t>Garrett</t>
  </si>
  <si>
    <t>Robert</t>
  </si>
  <si>
    <t>Marquez</t>
  </si>
  <si>
    <t>White</t>
  </si>
  <si>
    <t>Vanessa</t>
  </si>
  <si>
    <t>Chavez</t>
  </si>
  <si>
    <t>Men dress shirt</t>
  </si>
  <si>
    <t>Musser</t>
  </si>
  <si>
    <t>Jessica</t>
  </si>
  <si>
    <t>Lowe</t>
  </si>
  <si>
    <t>Evie</t>
  </si>
  <si>
    <t>Williamson</t>
  </si>
  <si>
    <t>Laptop bag</t>
  </si>
  <si>
    <t>Women type T simple</t>
  </si>
  <si>
    <t>Find &amp; Replace</t>
  </si>
  <si>
    <t>Item</t>
  </si>
  <si>
    <t>Men-type-T-simple-Black</t>
  </si>
  <si>
    <t>Laptop-bag-Red</t>
  </si>
  <si>
    <t>Smartphone-case-simple</t>
  </si>
  <si>
    <t>Men-shorts-Gray</t>
  </si>
  <si>
    <t>Women-dress-Cocktail-Red</t>
  </si>
  <si>
    <t>Men-shorts-Silver</t>
  </si>
  <si>
    <t>Women-crop-top-Black</t>
  </si>
  <si>
    <t>Women crop top</t>
  </si>
  <si>
    <t>Men-type-T-simple-Silver</t>
  </si>
  <si>
    <t>Men-dress-shirt-Gray</t>
  </si>
  <si>
    <t>Men-dress-shirt-Silver</t>
  </si>
  <si>
    <t>Women-dress-long-Black</t>
  </si>
  <si>
    <t>Women dress long</t>
  </si>
  <si>
    <t>Laptop-bag-Black</t>
  </si>
  <si>
    <t>Challenge: Which Items does Each Customer Order?</t>
  </si>
  <si>
    <t>WELL DONE!</t>
  </si>
  <si>
    <t>You receive the following sales information for one of your companies. You'd like to:</t>
  </si>
  <si>
    <r>
      <rPr>
        <rFont val="Roboto"/>
        <color theme="1"/>
      </rPr>
      <t xml:space="preserve">Get a unique list of customers and items </t>
    </r>
    <r>
      <rPr>
        <rFont val="Roboto"/>
        <b/>
        <color theme="1"/>
      </rPr>
      <t xml:space="preserve">independent </t>
    </r>
    <r>
      <rPr>
        <rFont val="Roboto"/>
        <color theme="1"/>
      </rPr>
      <t>of the color (exclude color from Item Description).</t>
    </r>
  </si>
  <si>
    <t>Sort the results by customer name then item name</t>
  </si>
  <si>
    <t>Unique list of Customers and Items (excluding Color)</t>
  </si>
  <si>
    <t>Item Description (exclude Color)</t>
  </si>
  <si>
    <t>Men  type T simple (Brown)</t>
  </si>
  <si>
    <t>Men shorts  (Gray)</t>
  </si>
  <si>
    <t>Women dress  long (Black)</t>
  </si>
  <si>
    <t>Unisex tank top</t>
  </si>
  <si>
    <t>Men dress shirt  (Black)</t>
  </si>
  <si>
    <t xml:space="preserve"> Men dress shirt (White)</t>
  </si>
  <si>
    <t xml:space="preserve"> Women type T simple (White)</t>
  </si>
  <si>
    <t>Women dress Cocktail  (Red)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</si>
</sst>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/yyyy"/>
  </numFmts>
  <fonts count="18">
    <font>
      <sz val="10.0"/>
      <color rgb="FF000000"/>
      <name val="Roboto"/>
      <scheme val="minor"/>
    </font>
    <font>
      <color theme="1"/>
      <name val="Roboto"/>
      <scheme val="minor"/>
    </font>
    <font>
      <b/>
      <color rgb="FFFFF2CC"/>
      <name val="Roboto"/>
      <scheme val="minor"/>
    </font>
    <font>
      <b/>
      <sz val="14.0"/>
      <color rgb="FFFFFFFF"/>
      <name val="Roboto"/>
      <scheme val="minor"/>
    </font>
    <font>
      <color rgb="FFFFFFFF"/>
      <name val="Roboto"/>
      <scheme val="minor"/>
    </font>
    <font>
      <u/>
      <color rgb="FF1155CC"/>
      <name val="Roboto"/>
      <scheme val="minor"/>
    </font>
    <font>
      <b/>
      <color theme="1"/>
      <name val="Roboto"/>
      <scheme val="minor"/>
    </font>
    <font>
      <u/>
      <color rgb="FF1155CC"/>
    </font>
    <font>
      <u/>
      <color rgb="FF1155CC"/>
    </font>
    <font>
      <b/>
      <sz val="11.0"/>
      <color theme="1"/>
      <name val="Roboto"/>
      <scheme val="minor"/>
    </font>
    <font>
      <b/>
      <color theme="1"/>
      <name val="Roboto"/>
    </font>
    <font>
      <color rgb="FF999999"/>
      <name val="Roboto"/>
      <scheme val="minor"/>
    </font>
    <font>
      <color rgb="FF3E50B3"/>
      <name val="Roboto"/>
      <scheme val="minor"/>
    </font>
    <font>
      <color theme="0"/>
      <name val="Roboto"/>
      <scheme val="minor"/>
    </font>
    <font>
      <b/>
      <color rgb="FFFFFFFF"/>
      <name val="Arial"/>
    </font>
    <font>
      <color rgb="FF000000"/>
      <name val="Arial"/>
    </font>
    <font>
      <b/>
      <color theme="0"/>
      <name val="Roboto"/>
      <scheme val="minor"/>
    </font>
    <font>
      <color rgb="FF02A846"/>
      <name val="Roboto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F4FFF9"/>
        <bgColor rgb="FFF4FFF9"/>
      </patternFill>
    </fill>
    <fill>
      <patternFill patternType="solid">
        <fgColor rgb="FF6FA8DC"/>
        <bgColor rgb="FF6FA8DC"/>
      </patternFill>
    </fill>
    <fill>
      <patternFill patternType="solid">
        <fgColor rgb="FF548235"/>
        <bgColor rgb="FF548235"/>
      </patternFill>
    </fill>
    <fill>
      <patternFill patternType="solid">
        <fgColor rgb="FF999999"/>
        <bgColor rgb="FF999999"/>
      </patternFill>
    </fill>
  </fills>
  <borders count="7">
    <border/>
    <border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bottom style="thin">
        <color rgb="FF434343"/>
      </bottom>
    </border>
    <border>
      <bottom style="thick">
        <color rgb="FF3E50B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02A846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3" fontId="1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1" numFmtId="0" xfId="0" applyBorder="1" applyFont="1"/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vertical="center"/>
    </xf>
    <xf borderId="2" fillId="0" fontId="1" numFmtId="0" xfId="0" applyBorder="1" applyFont="1"/>
    <xf borderId="2" fillId="0" fontId="8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shrinkToFit="0" wrapText="1"/>
    </xf>
    <xf borderId="3" fillId="0" fontId="9" numFmtId="0" xfId="0" applyAlignment="1" applyBorder="1" applyFont="1">
      <alignment readingOrder="0"/>
    </xf>
    <xf borderId="3" fillId="0" fontId="1" numFmtId="0" xfId="0" applyBorder="1" applyFont="1"/>
    <xf borderId="0" fillId="0" fontId="1" numFmtId="0" xfId="0" applyAlignment="1" applyFont="1">
      <alignment readingOrder="0"/>
    </xf>
    <xf borderId="4" fillId="0" fontId="10" numFmtId="0" xfId="0" applyAlignment="1" applyBorder="1" applyFont="1">
      <alignment horizontal="left" readingOrder="0" vertical="bottom"/>
    </xf>
    <xf borderId="0" fillId="0" fontId="1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1" numFmtId="0" xfId="0" applyFont="1"/>
    <xf borderId="0" fillId="0" fontId="1" numFmtId="0" xfId="0" applyAlignment="1" applyFont="1">
      <alignment horizontal="right" readingOrder="0"/>
    </xf>
    <xf borderId="5" fillId="4" fontId="1" numFmtId="0" xfId="0" applyAlignment="1" applyBorder="1" applyFill="1" applyFont="1">
      <alignment readingOrder="0"/>
    </xf>
    <xf borderId="5" fillId="4" fontId="1" numFmtId="164" xfId="0" applyAlignment="1" applyBorder="1" applyFont="1" applyNumberFormat="1">
      <alignment readingOrder="0"/>
    </xf>
    <xf borderId="0" fillId="0" fontId="10" numFmtId="0" xfId="0" applyAlignment="1" applyFont="1">
      <alignment horizontal="left" readingOrder="0" vertical="bottom"/>
    </xf>
    <xf borderId="0" fillId="5" fontId="1" numFmtId="3" xfId="0" applyAlignment="1" applyFill="1" applyFont="1" applyNumberFormat="1">
      <alignment readingOrder="0"/>
    </xf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6" fontId="14" numFmtId="0" xfId="0" applyAlignment="1" applyFill="1" applyFont="1">
      <alignment horizontal="center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1" numFmtId="0" xfId="0" applyFont="1"/>
    <xf borderId="0" fillId="7" fontId="1" numFmtId="0" xfId="0" applyFill="1" applyFont="1"/>
    <xf borderId="0" fillId="0" fontId="1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3" fillId="4" fontId="1" numFmtId="0" xfId="0" applyBorder="1" applyFont="1"/>
    <xf borderId="0" fillId="0" fontId="16" numFmtId="0" xfId="0" applyAlignment="1" applyFont="1">
      <alignment readingOrder="0"/>
    </xf>
    <xf borderId="0" fillId="0" fontId="17" numFmtId="0" xfId="0" applyAlignment="1" applyFont="1">
      <alignment horizontal="left" readingOrder="0"/>
    </xf>
    <xf borderId="6" fillId="0" fontId="10" numFmtId="0" xfId="0" applyAlignment="1" applyBorder="1" applyFont="1">
      <alignment horizontal="left" readingOrder="0" vertical="bottom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AE5E5"/>
          <bgColor rgb="FFFAE5E5"/>
        </patternFill>
      </fill>
      <border/>
    </dxf>
    <dxf>
      <font>
        <color rgb="FF434343"/>
      </font>
      <fill>
        <patternFill patternType="none"/>
      </fill>
      <border/>
    </dxf>
    <dxf>
      <font>
        <color rgb="FF274E1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1D6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9.5"/>
    <col customWidth="1" min="3" max="3" width="36.75"/>
    <col customWidth="1" min="4" max="4" width="3.13"/>
    <col customWidth="1" min="5" max="5" width="21.75"/>
    <col customWidth="1" min="6" max="6" width="37.63"/>
    <col customWidth="1" min="7" max="7" width="7.63"/>
  </cols>
  <sheetData>
    <row r="1">
      <c r="A1" s="1"/>
      <c r="B1" s="2" t="s">
        <v>0</v>
      </c>
    </row>
    <row r="2">
      <c r="A2" s="1"/>
      <c r="B2" s="3" t="s">
        <v>1</v>
      </c>
    </row>
    <row r="3">
      <c r="A3" s="4"/>
      <c r="B3" s="5"/>
      <c r="C3" s="4"/>
      <c r="D3" s="4"/>
      <c r="E3" s="6"/>
      <c r="F3" s="4"/>
      <c r="G3" s="4"/>
    </row>
    <row r="4" ht="24.75" customHeight="1">
      <c r="B4" s="7" t="s">
        <v>2</v>
      </c>
      <c r="C4" s="7" t="s">
        <v>3</v>
      </c>
      <c r="D4" s="8"/>
      <c r="E4" s="7" t="s">
        <v>4</v>
      </c>
      <c r="F4" s="7" t="s">
        <v>5</v>
      </c>
      <c r="G4" s="8"/>
    </row>
    <row r="5" ht="24.0" customHeight="1">
      <c r="A5" s="9"/>
      <c r="B5" s="10" t="s">
        <v>2</v>
      </c>
      <c r="C5" s="11" t="s">
        <v>6</v>
      </c>
      <c r="D5" s="9"/>
      <c r="E5" s="12" t="s">
        <v>7</v>
      </c>
      <c r="F5" s="9"/>
      <c r="G5" s="9"/>
    </row>
    <row r="6">
      <c r="A6" s="13"/>
      <c r="B6" s="14" t="s">
        <v>2</v>
      </c>
      <c r="C6" s="15" t="s">
        <v>8</v>
      </c>
      <c r="D6" s="13"/>
      <c r="E6" s="16" t="s">
        <v>7</v>
      </c>
      <c r="F6" s="13"/>
      <c r="G6" s="13"/>
    </row>
    <row r="7">
      <c r="A7" s="13"/>
      <c r="B7" s="14" t="s">
        <v>2</v>
      </c>
      <c r="C7" s="15" t="s">
        <v>9</v>
      </c>
      <c r="D7" s="13"/>
      <c r="E7" s="16" t="s">
        <v>7</v>
      </c>
      <c r="F7" s="13"/>
      <c r="G7" s="13"/>
    </row>
    <row r="8">
      <c r="A8" s="13"/>
      <c r="B8" s="14" t="s">
        <v>2</v>
      </c>
      <c r="C8" s="15" t="s">
        <v>10</v>
      </c>
      <c r="D8" s="13"/>
      <c r="E8" s="16" t="s">
        <v>7</v>
      </c>
      <c r="F8" s="13"/>
      <c r="G8" s="13"/>
    </row>
    <row r="9">
      <c r="A9" s="13"/>
      <c r="B9" s="14" t="s">
        <v>2</v>
      </c>
      <c r="C9" s="15" t="s">
        <v>11</v>
      </c>
      <c r="D9" s="13"/>
      <c r="E9" s="16" t="s">
        <v>7</v>
      </c>
      <c r="F9" s="13"/>
      <c r="G9" s="13"/>
    </row>
    <row r="10">
      <c r="A10" s="13"/>
      <c r="B10" s="14" t="s">
        <v>2</v>
      </c>
      <c r="C10" s="15" t="s">
        <v>12</v>
      </c>
      <c r="D10" s="13"/>
      <c r="E10" s="16" t="s">
        <v>7</v>
      </c>
      <c r="F10" s="13"/>
      <c r="G10" s="13"/>
    </row>
    <row r="11">
      <c r="A11" s="13"/>
      <c r="B11" s="14" t="s">
        <v>2</v>
      </c>
      <c r="C11" s="15" t="s">
        <v>13</v>
      </c>
      <c r="D11" s="13"/>
      <c r="E11" s="16" t="s">
        <v>7</v>
      </c>
      <c r="F11" s="13"/>
      <c r="G11" s="13"/>
    </row>
    <row r="12">
      <c r="A12" s="13"/>
      <c r="B12" s="13"/>
      <c r="C12" s="15"/>
      <c r="D12" s="13"/>
      <c r="E12" s="17"/>
      <c r="F12" s="13"/>
      <c r="G12" s="13"/>
    </row>
    <row r="13">
      <c r="A13" s="13"/>
      <c r="B13" s="13"/>
      <c r="C13" s="15"/>
      <c r="D13" s="13"/>
      <c r="E13" s="17"/>
      <c r="F13" s="13"/>
      <c r="G13" s="13"/>
    </row>
    <row r="14" ht="9.75" customHeight="1">
      <c r="A14" s="4"/>
      <c r="B14" s="4"/>
      <c r="C14" s="18"/>
      <c r="D14" s="4"/>
      <c r="E14" s="4"/>
      <c r="F14" s="4"/>
      <c r="G14" s="4"/>
    </row>
  </sheetData>
  <mergeCells count="2">
    <mergeCell ref="B1:G1"/>
    <mergeCell ref="B2:G2"/>
  </mergeCells>
  <conditionalFormatting sqref="B5:F13">
    <cfRule type="expression" dxfId="0" priority="1">
      <formula>$E5="Done &amp; Understood"</formula>
    </cfRule>
  </conditionalFormatting>
  <conditionalFormatting sqref="B5:F13">
    <cfRule type="expression" dxfId="1" priority="2">
      <formula>$E5="Done but needs practice"</formula>
    </cfRule>
  </conditionalFormatting>
  <conditionalFormatting sqref="B5:F13">
    <cfRule type="expression" dxfId="2" priority="3">
      <formula>$E5="Review Later"</formula>
    </cfRule>
  </conditionalFormatting>
  <dataValidations>
    <dataValidation type="list" allowBlank="1" showInputMessage="1" prompt="Select your level of understanding" sqref="E5:E11">
      <formula1>"Select One…,Done &amp; Understood,Done but needs practice,Review Later"</formula1>
    </dataValidation>
  </dataValidations>
  <hyperlinks>
    <hyperlink display="LINK" location="Sort!A1" ref="B5"/>
    <hyperlink display="LINK" location="Filter!A1" ref="B6"/>
    <hyperlink display="LINK" location="Filter!A1" ref="B7"/>
    <hyperlink display="LINK" location="'Challenge#1'!A1" ref="B8"/>
    <hyperlink display="LINK" location="Clean!A1" ref="B9"/>
    <hyperlink display="LINK" location="Replace!A1" ref="B10"/>
    <hyperlink display="LINK" location="'Challenge#2'!A1" ref="B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1.63"/>
    <col customWidth="1" min="3" max="3" width="20.0"/>
    <col customWidth="1" min="4" max="4" width="7.5"/>
    <col customWidth="1" min="5" max="5" width="4.13"/>
    <col customWidth="1" min="8" max="8" width="17.88"/>
  </cols>
  <sheetData>
    <row r="1">
      <c r="A1" s="19" t="s">
        <v>6</v>
      </c>
      <c r="B1" s="20"/>
      <c r="C1" s="20"/>
      <c r="D1" s="20"/>
      <c r="E1" s="20"/>
      <c r="F1" s="20"/>
    </row>
    <row r="2">
      <c r="F2" s="21" t="s">
        <v>14</v>
      </c>
      <c r="K2" s="21" t="s">
        <v>15</v>
      </c>
    </row>
    <row r="3">
      <c r="A3" s="21" t="s">
        <v>16</v>
      </c>
    </row>
    <row r="4">
      <c r="A4" s="22" t="s">
        <v>17</v>
      </c>
      <c r="B4" s="22" t="s">
        <v>18</v>
      </c>
      <c r="C4" s="22" t="s">
        <v>19</v>
      </c>
      <c r="D4" s="22" t="s">
        <v>20</v>
      </c>
      <c r="F4" s="22" t="s">
        <v>17</v>
      </c>
      <c r="G4" s="22" t="s">
        <v>18</v>
      </c>
      <c r="H4" s="22" t="s">
        <v>19</v>
      </c>
      <c r="I4" s="22" t="s">
        <v>20</v>
      </c>
      <c r="K4" s="22" t="s">
        <v>17</v>
      </c>
      <c r="L4" s="22" t="s">
        <v>18</v>
      </c>
      <c r="M4" s="22" t="s">
        <v>19</v>
      </c>
      <c r="N4" s="22" t="s">
        <v>20</v>
      </c>
      <c r="O4" s="23" t="s">
        <v>21</v>
      </c>
    </row>
    <row r="5">
      <c r="A5" s="21" t="s">
        <v>22</v>
      </c>
      <c r="B5" s="21" t="s">
        <v>23</v>
      </c>
      <c r="C5" s="21" t="s">
        <v>24</v>
      </c>
      <c r="D5" s="24">
        <v>25709.0</v>
      </c>
      <c r="F5" s="21" t="s">
        <v>25</v>
      </c>
      <c r="G5" s="21" t="s">
        <v>26</v>
      </c>
      <c r="H5" s="21" t="s">
        <v>27</v>
      </c>
      <c r="I5" s="24">
        <v>24700.0</v>
      </c>
      <c r="K5" s="21" t="s">
        <v>22</v>
      </c>
      <c r="L5" s="21" t="s">
        <v>23</v>
      </c>
      <c r="M5" s="21" t="s">
        <v>24</v>
      </c>
      <c r="N5" s="24">
        <v>25709.0</v>
      </c>
      <c r="O5" s="23">
        <v>1.0</v>
      </c>
    </row>
    <row r="6">
      <c r="A6" s="21" t="s">
        <v>28</v>
      </c>
      <c r="B6" s="21" t="s">
        <v>29</v>
      </c>
      <c r="C6" s="21" t="s">
        <v>30</v>
      </c>
      <c r="D6" s="24">
        <v>25600.0</v>
      </c>
      <c r="F6" s="21" t="s">
        <v>31</v>
      </c>
      <c r="G6" s="21" t="s">
        <v>26</v>
      </c>
      <c r="H6" s="21" t="s">
        <v>27</v>
      </c>
      <c r="I6" s="24">
        <v>26900.0</v>
      </c>
      <c r="K6" s="21" t="s">
        <v>28</v>
      </c>
      <c r="L6" s="21" t="s">
        <v>29</v>
      </c>
      <c r="M6" s="21" t="s">
        <v>30</v>
      </c>
      <c r="N6" s="24">
        <v>25600.0</v>
      </c>
      <c r="O6" s="23">
        <v>2.0</v>
      </c>
    </row>
    <row r="7">
      <c r="A7" s="21" t="s">
        <v>32</v>
      </c>
      <c r="B7" s="21" t="s">
        <v>33</v>
      </c>
      <c r="C7" s="21" t="s">
        <v>24</v>
      </c>
      <c r="D7" s="24">
        <v>23500.0</v>
      </c>
      <c r="F7" s="21" t="s">
        <v>34</v>
      </c>
      <c r="G7" s="21" t="s">
        <v>26</v>
      </c>
      <c r="H7" s="21" t="s">
        <v>27</v>
      </c>
      <c r="I7" s="24">
        <v>47200.0</v>
      </c>
      <c r="K7" s="21" t="s">
        <v>32</v>
      </c>
      <c r="L7" s="21" t="s">
        <v>33</v>
      </c>
      <c r="M7" s="21" t="s">
        <v>24</v>
      </c>
      <c r="N7" s="24">
        <v>23500.0</v>
      </c>
      <c r="O7" s="23">
        <v>3.0</v>
      </c>
    </row>
    <row r="8">
      <c r="A8" s="21" t="s">
        <v>35</v>
      </c>
      <c r="B8" s="21" t="s">
        <v>23</v>
      </c>
      <c r="C8" s="21" t="s">
        <v>24</v>
      </c>
      <c r="D8" s="24">
        <v>26500.0</v>
      </c>
      <c r="F8" s="21" t="s">
        <v>36</v>
      </c>
      <c r="G8" s="21" t="s">
        <v>26</v>
      </c>
      <c r="H8" s="21" t="s">
        <v>30</v>
      </c>
      <c r="I8" s="24">
        <v>29800.0</v>
      </c>
      <c r="K8" s="21" t="s">
        <v>35</v>
      </c>
      <c r="L8" s="21" t="s">
        <v>23</v>
      </c>
      <c r="M8" s="21" t="s">
        <v>24</v>
      </c>
      <c r="N8" s="24">
        <v>26500.0</v>
      </c>
      <c r="O8" s="23">
        <v>4.0</v>
      </c>
    </row>
    <row r="9">
      <c r="A9" s="21" t="s">
        <v>25</v>
      </c>
      <c r="B9" s="21" t="s">
        <v>26</v>
      </c>
      <c r="C9" s="21" t="s">
        <v>27</v>
      </c>
      <c r="D9" s="24">
        <v>24700.0</v>
      </c>
      <c r="F9" s="21" t="s">
        <v>37</v>
      </c>
      <c r="G9" s="21" t="s">
        <v>26</v>
      </c>
      <c r="H9" s="21" t="s">
        <v>30</v>
      </c>
      <c r="I9" s="24">
        <v>49727.0</v>
      </c>
      <c r="K9" s="21" t="s">
        <v>25</v>
      </c>
      <c r="L9" s="21" t="s">
        <v>26</v>
      </c>
      <c r="M9" s="21" t="s">
        <v>27</v>
      </c>
      <c r="N9" s="24">
        <v>24700.0</v>
      </c>
      <c r="O9" s="23">
        <v>5.0</v>
      </c>
    </row>
    <row r="10">
      <c r="A10" s="21" t="s">
        <v>38</v>
      </c>
      <c r="B10" s="21" t="s">
        <v>33</v>
      </c>
      <c r="C10" s="21" t="s">
        <v>39</v>
      </c>
      <c r="D10" s="24">
        <v>26500.0</v>
      </c>
      <c r="F10" s="21" t="s">
        <v>40</v>
      </c>
      <c r="G10" s="21" t="s">
        <v>26</v>
      </c>
      <c r="H10" s="21" t="s">
        <v>30</v>
      </c>
      <c r="I10" s="24">
        <v>49000.0</v>
      </c>
      <c r="K10" s="21" t="s">
        <v>38</v>
      </c>
      <c r="L10" s="21" t="s">
        <v>33</v>
      </c>
      <c r="M10" s="21" t="s">
        <v>39</v>
      </c>
      <c r="N10" s="24">
        <v>26500.0</v>
      </c>
      <c r="O10" s="23">
        <v>6.0</v>
      </c>
    </row>
    <row r="11">
      <c r="A11" s="21" t="s">
        <v>41</v>
      </c>
      <c r="B11" s="21" t="s">
        <v>29</v>
      </c>
      <c r="C11" s="21" t="s">
        <v>24</v>
      </c>
      <c r="D11" s="24">
        <v>30600.0</v>
      </c>
      <c r="F11" s="21" t="s">
        <v>42</v>
      </c>
      <c r="G11" s="21" t="s">
        <v>26</v>
      </c>
      <c r="H11" s="21" t="s">
        <v>43</v>
      </c>
      <c r="I11" s="24">
        <v>65270.0</v>
      </c>
      <c r="K11" s="21" t="s">
        <v>41</v>
      </c>
      <c r="L11" s="21" t="s">
        <v>29</v>
      </c>
      <c r="M11" s="21" t="s">
        <v>24</v>
      </c>
      <c r="N11" s="24">
        <v>30600.0</v>
      </c>
      <c r="O11" s="23">
        <v>7.0</v>
      </c>
    </row>
    <row r="12">
      <c r="A12" s="21" t="s">
        <v>44</v>
      </c>
      <c r="B12" s="21" t="s">
        <v>33</v>
      </c>
      <c r="C12" s="21" t="s">
        <v>39</v>
      </c>
      <c r="D12" s="24">
        <v>28400.0</v>
      </c>
      <c r="F12" s="21" t="s">
        <v>45</v>
      </c>
      <c r="G12" s="21" t="s">
        <v>26</v>
      </c>
      <c r="H12" s="21" t="s">
        <v>46</v>
      </c>
      <c r="I12" s="24">
        <v>145000.0</v>
      </c>
      <c r="K12" s="21" t="s">
        <v>44</v>
      </c>
      <c r="L12" s="21" t="s">
        <v>33</v>
      </c>
      <c r="M12" s="21" t="s">
        <v>39</v>
      </c>
      <c r="N12" s="24">
        <v>28400.0</v>
      </c>
      <c r="O12" s="23">
        <v>8.0</v>
      </c>
    </row>
    <row r="13">
      <c r="A13" s="21" t="s">
        <v>47</v>
      </c>
      <c r="B13" s="21" t="s">
        <v>23</v>
      </c>
      <c r="C13" s="21" t="s">
        <v>48</v>
      </c>
      <c r="D13" s="24">
        <v>32800.0</v>
      </c>
      <c r="F13" s="21" t="s">
        <v>49</v>
      </c>
      <c r="G13" s="21" t="s">
        <v>26</v>
      </c>
      <c r="H13" s="21" t="s">
        <v>50</v>
      </c>
      <c r="I13" s="24">
        <v>108357.0</v>
      </c>
      <c r="K13" s="21" t="s">
        <v>47</v>
      </c>
      <c r="L13" s="21" t="s">
        <v>23</v>
      </c>
      <c r="M13" s="21" t="s">
        <v>48</v>
      </c>
      <c r="N13" s="24">
        <v>32800.0</v>
      </c>
      <c r="O13" s="23">
        <v>9.0</v>
      </c>
    </row>
    <row r="14">
      <c r="A14" s="21" t="s">
        <v>51</v>
      </c>
      <c r="B14" s="21" t="s">
        <v>23</v>
      </c>
      <c r="C14" s="21" t="s">
        <v>48</v>
      </c>
      <c r="D14" s="24">
        <v>25900.0</v>
      </c>
      <c r="F14" s="21" t="s">
        <v>52</v>
      </c>
      <c r="G14" s="21" t="s">
        <v>26</v>
      </c>
      <c r="H14" s="21" t="s">
        <v>53</v>
      </c>
      <c r="I14" s="24">
        <v>78600.0</v>
      </c>
      <c r="K14" s="21" t="s">
        <v>51</v>
      </c>
      <c r="L14" s="21" t="s">
        <v>23</v>
      </c>
      <c r="M14" s="21" t="s">
        <v>48</v>
      </c>
      <c r="N14" s="24">
        <v>25900.0</v>
      </c>
      <c r="O14" s="23">
        <v>10.0</v>
      </c>
    </row>
    <row r="15">
      <c r="A15" s="21" t="s">
        <v>31</v>
      </c>
      <c r="B15" s="21" t="s">
        <v>26</v>
      </c>
      <c r="C15" s="21" t="s">
        <v>27</v>
      </c>
      <c r="D15" s="24">
        <v>26900.0</v>
      </c>
      <c r="F15" s="21" t="s">
        <v>54</v>
      </c>
      <c r="G15" s="21" t="s">
        <v>26</v>
      </c>
      <c r="H15" s="21" t="s">
        <v>55</v>
      </c>
      <c r="I15" s="24">
        <v>86500.0</v>
      </c>
      <c r="K15" s="21" t="s">
        <v>31</v>
      </c>
      <c r="L15" s="21" t="s">
        <v>26</v>
      </c>
      <c r="M15" s="21" t="s">
        <v>27</v>
      </c>
      <c r="N15" s="24">
        <v>26900.0</v>
      </c>
      <c r="O15" s="23">
        <v>11.0</v>
      </c>
    </row>
    <row r="16">
      <c r="A16" s="21" t="s">
        <v>34</v>
      </c>
      <c r="B16" s="21" t="s">
        <v>26</v>
      </c>
      <c r="C16" s="21" t="s">
        <v>27</v>
      </c>
      <c r="D16" s="24">
        <v>47200.0</v>
      </c>
      <c r="F16" s="21" t="s">
        <v>28</v>
      </c>
      <c r="G16" s="21" t="s">
        <v>29</v>
      </c>
      <c r="H16" s="21" t="s">
        <v>30</v>
      </c>
      <c r="I16" s="24">
        <v>25600.0</v>
      </c>
      <c r="K16" s="21" t="s">
        <v>34</v>
      </c>
      <c r="L16" s="21" t="s">
        <v>26</v>
      </c>
      <c r="M16" s="21" t="s">
        <v>27</v>
      </c>
      <c r="N16" s="24">
        <v>47200.0</v>
      </c>
      <c r="O16" s="23">
        <v>12.0</v>
      </c>
    </row>
    <row r="17">
      <c r="A17" s="21" t="s">
        <v>36</v>
      </c>
      <c r="B17" s="21" t="s">
        <v>26</v>
      </c>
      <c r="C17" s="21" t="s">
        <v>30</v>
      </c>
      <c r="D17" s="24">
        <v>29800.0</v>
      </c>
      <c r="F17" s="21" t="s">
        <v>41</v>
      </c>
      <c r="G17" s="21" t="s">
        <v>29</v>
      </c>
      <c r="H17" s="21" t="s">
        <v>24</v>
      </c>
      <c r="I17" s="24">
        <v>30600.0</v>
      </c>
      <c r="K17" s="21" t="s">
        <v>36</v>
      </c>
      <c r="L17" s="21" t="s">
        <v>26</v>
      </c>
      <c r="M17" s="21" t="s">
        <v>30</v>
      </c>
      <c r="N17" s="24">
        <v>29800.0</v>
      </c>
      <c r="O17" s="23">
        <v>13.0</v>
      </c>
    </row>
    <row r="18">
      <c r="A18" s="21" t="s">
        <v>56</v>
      </c>
      <c r="B18" s="21" t="s">
        <v>29</v>
      </c>
      <c r="C18" s="21" t="s">
        <v>57</v>
      </c>
      <c r="D18" s="24">
        <v>31200.0</v>
      </c>
      <c r="F18" s="21" t="s">
        <v>58</v>
      </c>
      <c r="G18" s="21" t="s">
        <v>29</v>
      </c>
      <c r="H18" s="21" t="s">
        <v>59</v>
      </c>
      <c r="I18" s="24">
        <v>58300.0</v>
      </c>
      <c r="K18" s="21" t="s">
        <v>56</v>
      </c>
      <c r="L18" s="21" t="s">
        <v>29</v>
      </c>
      <c r="M18" s="21" t="s">
        <v>57</v>
      </c>
      <c r="N18" s="24">
        <v>31200.0</v>
      </c>
      <c r="O18" s="23">
        <v>14.0</v>
      </c>
    </row>
    <row r="19">
      <c r="A19" s="21" t="s">
        <v>60</v>
      </c>
      <c r="B19" s="21" t="s">
        <v>29</v>
      </c>
      <c r="C19" s="21" t="s">
        <v>61</v>
      </c>
      <c r="D19" s="24">
        <v>49500.0</v>
      </c>
      <c r="F19" s="21" t="s">
        <v>62</v>
      </c>
      <c r="G19" s="21" t="s">
        <v>29</v>
      </c>
      <c r="H19" s="21" t="s">
        <v>59</v>
      </c>
      <c r="I19" s="24">
        <v>36400.0</v>
      </c>
      <c r="K19" s="21" t="s">
        <v>60</v>
      </c>
      <c r="L19" s="21" t="s">
        <v>29</v>
      </c>
      <c r="M19" s="21" t="s">
        <v>61</v>
      </c>
      <c r="N19" s="24">
        <v>49500.0</v>
      </c>
      <c r="O19" s="23">
        <v>15.0</v>
      </c>
    </row>
    <row r="20">
      <c r="A20" s="21" t="s">
        <v>58</v>
      </c>
      <c r="B20" s="21" t="s">
        <v>29</v>
      </c>
      <c r="C20" s="21" t="s">
        <v>59</v>
      </c>
      <c r="D20" s="24">
        <v>58300.0</v>
      </c>
      <c r="F20" s="21" t="s">
        <v>60</v>
      </c>
      <c r="G20" s="21" t="s">
        <v>29</v>
      </c>
      <c r="H20" s="21" t="s">
        <v>61</v>
      </c>
      <c r="I20" s="24">
        <v>49500.0</v>
      </c>
      <c r="K20" s="21" t="s">
        <v>58</v>
      </c>
      <c r="L20" s="21" t="s">
        <v>29</v>
      </c>
      <c r="M20" s="21" t="s">
        <v>59</v>
      </c>
      <c r="N20" s="24">
        <v>58300.0</v>
      </c>
      <c r="O20" s="23">
        <v>16.0</v>
      </c>
    </row>
    <row r="21">
      <c r="A21" s="21" t="s">
        <v>62</v>
      </c>
      <c r="B21" s="21" t="s">
        <v>29</v>
      </c>
      <c r="C21" s="21" t="s">
        <v>59</v>
      </c>
      <c r="D21" s="24">
        <v>36400.0</v>
      </c>
      <c r="F21" s="21" t="s">
        <v>63</v>
      </c>
      <c r="G21" s="21" t="s">
        <v>29</v>
      </c>
      <c r="H21" s="21" t="s">
        <v>64</v>
      </c>
      <c r="I21" s="24">
        <v>79600.0</v>
      </c>
      <c r="K21" s="21" t="s">
        <v>62</v>
      </c>
      <c r="L21" s="21" t="s">
        <v>29</v>
      </c>
      <c r="M21" s="21" t="s">
        <v>59</v>
      </c>
      <c r="N21" s="24">
        <v>36400.0</v>
      </c>
      <c r="O21" s="23">
        <v>17.0</v>
      </c>
    </row>
    <row r="22">
      <c r="A22" s="21" t="s">
        <v>65</v>
      </c>
      <c r="B22" s="21" t="s">
        <v>23</v>
      </c>
      <c r="C22" s="21" t="s">
        <v>30</v>
      </c>
      <c r="D22" s="24">
        <v>38500.0</v>
      </c>
      <c r="F22" s="21" t="s">
        <v>56</v>
      </c>
      <c r="G22" s="21" t="s">
        <v>29</v>
      </c>
      <c r="H22" s="21" t="s">
        <v>57</v>
      </c>
      <c r="I22" s="24">
        <v>31200.0</v>
      </c>
      <c r="K22" s="21" t="s">
        <v>65</v>
      </c>
      <c r="L22" s="21" t="s">
        <v>23</v>
      </c>
      <c r="M22" s="21" t="s">
        <v>30</v>
      </c>
      <c r="N22" s="24">
        <v>38500.0</v>
      </c>
      <c r="O22" s="23">
        <v>18.0</v>
      </c>
    </row>
    <row r="23">
      <c r="A23" s="21" t="s">
        <v>66</v>
      </c>
      <c r="B23" s="21" t="s">
        <v>23</v>
      </c>
      <c r="C23" s="21" t="s">
        <v>67</v>
      </c>
      <c r="D23" s="24">
        <v>39400.0</v>
      </c>
      <c r="F23" s="21" t="s">
        <v>68</v>
      </c>
      <c r="G23" s="21" t="s">
        <v>29</v>
      </c>
      <c r="H23" s="21" t="s">
        <v>69</v>
      </c>
      <c r="I23" s="24">
        <v>56500.0</v>
      </c>
      <c r="K23" s="21" t="s">
        <v>66</v>
      </c>
      <c r="L23" s="21" t="s">
        <v>23</v>
      </c>
      <c r="M23" s="21" t="s">
        <v>67</v>
      </c>
      <c r="N23" s="24">
        <v>39400.0</v>
      </c>
      <c r="O23" s="23">
        <v>19.0</v>
      </c>
    </row>
    <row r="24">
      <c r="A24" s="21" t="s">
        <v>70</v>
      </c>
      <c r="B24" s="21" t="s">
        <v>23</v>
      </c>
      <c r="C24" s="21" t="s">
        <v>30</v>
      </c>
      <c r="D24" s="24">
        <v>42500.0</v>
      </c>
      <c r="F24" s="21" t="s">
        <v>32</v>
      </c>
      <c r="G24" s="21" t="s">
        <v>33</v>
      </c>
      <c r="H24" s="21" t="s">
        <v>24</v>
      </c>
      <c r="I24" s="24">
        <v>23500.0</v>
      </c>
      <c r="K24" s="21" t="s">
        <v>70</v>
      </c>
      <c r="L24" s="21" t="s">
        <v>23</v>
      </c>
      <c r="M24" s="21" t="s">
        <v>30</v>
      </c>
      <c r="N24" s="24">
        <v>42500.0</v>
      </c>
      <c r="O24" s="23">
        <v>20.0</v>
      </c>
    </row>
    <row r="25">
      <c r="A25" s="21" t="s">
        <v>37</v>
      </c>
      <c r="B25" s="21" t="s">
        <v>26</v>
      </c>
      <c r="C25" s="21" t="s">
        <v>30</v>
      </c>
      <c r="D25" s="24">
        <v>49727.0</v>
      </c>
      <c r="F25" s="21" t="s">
        <v>38</v>
      </c>
      <c r="G25" s="21" t="s">
        <v>33</v>
      </c>
      <c r="H25" s="21" t="s">
        <v>39</v>
      </c>
      <c r="I25" s="24">
        <v>26500.0</v>
      </c>
      <c r="K25" s="21" t="s">
        <v>37</v>
      </c>
      <c r="L25" s="21" t="s">
        <v>26</v>
      </c>
      <c r="M25" s="21" t="s">
        <v>30</v>
      </c>
      <c r="N25" s="24">
        <v>49727.0</v>
      </c>
      <c r="O25" s="23">
        <v>21.0</v>
      </c>
    </row>
    <row r="26">
      <c r="A26" s="21" t="s">
        <v>40</v>
      </c>
      <c r="B26" s="21" t="s">
        <v>26</v>
      </c>
      <c r="C26" s="21" t="s">
        <v>30</v>
      </c>
      <c r="D26" s="24">
        <v>49000.0</v>
      </c>
      <c r="F26" s="21" t="s">
        <v>44</v>
      </c>
      <c r="G26" s="21" t="s">
        <v>33</v>
      </c>
      <c r="H26" s="21" t="s">
        <v>39</v>
      </c>
      <c r="I26" s="24">
        <v>28400.0</v>
      </c>
      <c r="K26" s="21" t="s">
        <v>40</v>
      </c>
      <c r="L26" s="21" t="s">
        <v>26</v>
      </c>
      <c r="M26" s="21" t="s">
        <v>30</v>
      </c>
      <c r="N26" s="24">
        <v>49000.0</v>
      </c>
      <c r="O26" s="23">
        <v>22.0</v>
      </c>
    </row>
    <row r="27">
      <c r="A27" s="21" t="s">
        <v>63</v>
      </c>
      <c r="B27" s="21" t="s">
        <v>29</v>
      </c>
      <c r="C27" s="21" t="s">
        <v>64</v>
      </c>
      <c r="D27" s="24">
        <v>79600.0</v>
      </c>
      <c r="F27" s="21" t="s">
        <v>71</v>
      </c>
      <c r="G27" s="21" t="s">
        <v>33</v>
      </c>
      <c r="H27" s="21" t="s">
        <v>39</v>
      </c>
      <c r="I27" s="24">
        <v>48500.0</v>
      </c>
      <c r="K27" s="21" t="s">
        <v>63</v>
      </c>
      <c r="L27" s="21" t="s">
        <v>29</v>
      </c>
      <c r="M27" s="21" t="s">
        <v>64</v>
      </c>
      <c r="N27" s="24">
        <v>79600.0</v>
      </c>
      <c r="O27" s="23">
        <v>23.0</v>
      </c>
    </row>
    <row r="28">
      <c r="A28" s="21" t="s">
        <v>68</v>
      </c>
      <c r="B28" s="21" t="s">
        <v>29</v>
      </c>
      <c r="C28" s="21" t="s">
        <v>69</v>
      </c>
      <c r="D28" s="24">
        <v>56500.0</v>
      </c>
      <c r="F28" s="21" t="s">
        <v>72</v>
      </c>
      <c r="G28" s="21" t="s">
        <v>33</v>
      </c>
      <c r="H28" s="21" t="s">
        <v>39</v>
      </c>
      <c r="I28" s="24">
        <v>54600.0</v>
      </c>
      <c r="K28" s="21" t="s">
        <v>68</v>
      </c>
      <c r="L28" s="21" t="s">
        <v>29</v>
      </c>
      <c r="M28" s="21" t="s">
        <v>69</v>
      </c>
      <c r="N28" s="24">
        <v>56500.0</v>
      </c>
      <c r="O28" s="23">
        <v>24.0</v>
      </c>
    </row>
    <row r="29">
      <c r="A29" s="21" t="s">
        <v>73</v>
      </c>
      <c r="B29" s="21" t="s">
        <v>33</v>
      </c>
      <c r="C29" s="21" t="s">
        <v>74</v>
      </c>
      <c r="D29" s="24">
        <v>59900.0</v>
      </c>
      <c r="F29" s="21" t="s">
        <v>75</v>
      </c>
      <c r="G29" s="21" t="s">
        <v>33</v>
      </c>
      <c r="H29" s="21" t="s">
        <v>39</v>
      </c>
      <c r="I29" s="24">
        <v>51300.0</v>
      </c>
      <c r="K29" s="21" t="s">
        <v>73</v>
      </c>
      <c r="L29" s="21" t="s">
        <v>33</v>
      </c>
      <c r="M29" s="21" t="s">
        <v>74</v>
      </c>
      <c r="N29" s="24">
        <v>59900.0</v>
      </c>
      <c r="O29" s="23">
        <v>25.0</v>
      </c>
    </row>
    <row r="30">
      <c r="A30" s="21" t="s">
        <v>71</v>
      </c>
      <c r="B30" s="21" t="s">
        <v>33</v>
      </c>
      <c r="C30" s="21" t="s">
        <v>39</v>
      </c>
      <c r="D30" s="24">
        <v>48500.0</v>
      </c>
      <c r="F30" s="21" t="s">
        <v>76</v>
      </c>
      <c r="G30" s="21" t="s">
        <v>33</v>
      </c>
      <c r="H30" s="21" t="s">
        <v>77</v>
      </c>
      <c r="I30" s="24">
        <v>102500.0</v>
      </c>
      <c r="K30" s="21" t="s">
        <v>71</v>
      </c>
      <c r="L30" s="21" t="s">
        <v>33</v>
      </c>
      <c r="M30" s="21" t="s">
        <v>39</v>
      </c>
      <c r="N30" s="24">
        <v>48500.0</v>
      </c>
      <c r="O30" s="23">
        <v>26.0</v>
      </c>
    </row>
    <row r="31">
      <c r="A31" s="21" t="s">
        <v>78</v>
      </c>
      <c r="B31" s="21" t="s">
        <v>23</v>
      </c>
      <c r="C31" s="21" t="s">
        <v>79</v>
      </c>
      <c r="D31" s="24">
        <v>41200.0</v>
      </c>
      <c r="F31" s="21" t="s">
        <v>80</v>
      </c>
      <c r="G31" s="21" t="s">
        <v>33</v>
      </c>
      <c r="H31" s="21" t="s">
        <v>77</v>
      </c>
      <c r="I31" s="24">
        <v>86055.0</v>
      </c>
      <c r="K31" s="21" t="s">
        <v>78</v>
      </c>
      <c r="L31" s="21" t="s">
        <v>23</v>
      </c>
      <c r="M31" s="21" t="s">
        <v>79</v>
      </c>
      <c r="N31" s="24">
        <v>41200.0</v>
      </c>
      <c r="O31" s="23">
        <v>27.0</v>
      </c>
    </row>
    <row r="32">
      <c r="A32" s="21" t="s">
        <v>81</v>
      </c>
      <c r="B32" s="21" t="s">
        <v>23</v>
      </c>
      <c r="C32" s="21" t="s">
        <v>82</v>
      </c>
      <c r="D32" s="24">
        <v>52100.0</v>
      </c>
      <c r="F32" s="21" t="s">
        <v>73</v>
      </c>
      <c r="G32" s="21" t="s">
        <v>33</v>
      </c>
      <c r="H32" s="21" t="s">
        <v>74</v>
      </c>
      <c r="I32" s="24">
        <v>59900.0</v>
      </c>
      <c r="K32" s="21" t="s">
        <v>81</v>
      </c>
      <c r="L32" s="21" t="s">
        <v>23</v>
      </c>
      <c r="M32" s="21" t="s">
        <v>82</v>
      </c>
      <c r="N32" s="24">
        <v>52100.0</v>
      </c>
      <c r="O32" s="23">
        <v>28.0</v>
      </c>
    </row>
    <row r="33">
      <c r="A33" s="21" t="s">
        <v>83</v>
      </c>
      <c r="B33" s="21" t="s">
        <v>33</v>
      </c>
      <c r="C33" s="21" t="s">
        <v>74</v>
      </c>
      <c r="D33" s="24">
        <v>65200.0</v>
      </c>
      <c r="F33" s="21" t="s">
        <v>83</v>
      </c>
      <c r="G33" s="21" t="s">
        <v>33</v>
      </c>
      <c r="H33" s="21" t="s">
        <v>74</v>
      </c>
      <c r="I33" s="24">
        <v>65200.0</v>
      </c>
      <c r="K33" s="21" t="s">
        <v>83</v>
      </c>
      <c r="L33" s="21" t="s">
        <v>33</v>
      </c>
      <c r="M33" s="21" t="s">
        <v>74</v>
      </c>
      <c r="N33" s="24">
        <v>65200.0</v>
      </c>
      <c r="O33" s="23">
        <v>29.0</v>
      </c>
    </row>
    <row r="34">
      <c r="A34" s="21" t="s">
        <v>72</v>
      </c>
      <c r="B34" s="21" t="s">
        <v>33</v>
      </c>
      <c r="C34" s="21" t="s">
        <v>39</v>
      </c>
      <c r="D34" s="24">
        <v>54600.0</v>
      </c>
      <c r="F34" s="21" t="s">
        <v>84</v>
      </c>
      <c r="G34" s="21" t="s">
        <v>33</v>
      </c>
      <c r="H34" s="21" t="s">
        <v>85</v>
      </c>
      <c r="I34" s="24">
        <v>142000.0</v>
      </c>
      <c r="K34" s="21" t="s">
        <v>72</v>
      </c>
      <c r="L34" s="21" t="s">
        <v>33</v>
      </c>
      <c r="M34" s="21" t="s">
        <v>39</v>
      </c>
      <c r="N34" s="24">
        <v>54600.0</v>
      </c>
      <c r="O34" s="23">
        <v>30.0</v>
      </c>
    </row>
    <row r="35">
      <c r="A35" s="21" t="s">
        <v>75</v>
      </c>
      <c r="B35" s="21" t="s">
        <v>33</v>
      </c>
      <c r="C35" s="21" t="s">
        <v>39</v>
      </c>
      <c r="D35" s="24">
        <v>51300.0</v>
      </c>
      <c r="F35" s="21" t="s">
        <v>65</v>
      </c>
      <c r="G35" s="21" t="s">
        <v>23</v>
      </c>
      <c r="H35" s="21" t="s">
        <v>30</v>
      </c>
      <c r="I35" s="24">
        <v>38500.0</v>
      </c>
      <c r="K35" s="21" t="s">
        <v>75</v>
      </c>
      <c r="L35" s="21" t="s">
        <v>33</v>
      </c>
      <c r="M35" s="21" t="s">
        <v>39</v>
      </c>
      <c r="N35" s="24">
        <v>51300.0</v>
      </c>
      <c r="O35" s="23">
        <v>31.0</v>
      </c>
    </row>
    <row r="36">
      <c r="A36" s="21" t="s">
        <v>76</v>
      </c>
      <c r="B36" s="21" t="s">
        <v>33</v>
      </c>
      <c r="C36" s="21" t="s">
        <v>77</v>
      </c>
      <c r="D36" s="24">
        <v>102500.0</v>
      </c>
      <c r="F36" s="21" t="s">
        <v>70</v>
      </c>
      <c r="G36" s="21" t="s">
        <v>23</v>
      </c>
      <c r="H36" s="21" t="s">
        <v>30</v>
      </c>
      <c r="I36" s="24">
        <v>42500.0</v>
      </c>
      <c r="K36" s="21" t="s">
        <v>76</v>
      </c>
      <c r="L36" s="21" t="s">
        <v>33</v>
      </c>
      <c r="M36" s="21" t="s">
        <v>77</v>
      </c>
      <c r="N36" s="24">
        <v>102500.0</v>
      </c>
      <c r="O36" s="23">
        <v>32.0</v>
      </c>
    </row>
    <row r="37">
      <c r="A37" s="21" t="s">
        <v>42</v>
      </c>
      <c r="B37" s="21" t="s">
        <v>26</v>
      </c>
      <c r="C37" s="21" t="s">
        <v>43</v>
      </c>
      <c r="D37" s="24">
        <v>65270.0</v>
      </c>
      <c r="F37" s="21" t="s">
        <v>22</v>
      </c>
      <c r="G37" s="21" t="s">
        <v>23</v>
      </c>
      <c r="H37" s="21" t="s">
        <v>24</v>
      </c>
      <c r="I37" s="24">
        <v>25709.0</v>
      </c>
      <c r="K37" s="21" t="s">
        <v>42</v>
      </c>
      <c r="L37" s="21" t="s">
        <v>26</v>
      </c>
      <c r="M37" s="21" t="s">
        <v>43</v>
      </c>
      <c r="N37" s="24">
        <v>65270.0</v>
      </c>
      <c r="O37" s="23">
        <v>33.0</v>
      </c>
    </row>
    <row r="38">
      <c r="A38" s="21" t="s">
        <v>52</v>
      </c>
      <c r="B38" s="21" t="s">
        <v>26</v>
      </c>
      <c r="C38" s="21" t="s">
        <v>53</v>
      </c>
      <c r="D38" s="24">
        <v>78600.0</v>
      </c>
      <c r="F38" s="21" t="s">
        <v>35</v>
      </c>
      <c r="G38" s="21" t="s">
        <v>23</v>
      </c>
      <c r="H38" s="21" t="s">
        <v>24</v>
      </c>
      <c r="I38" s="24">
        <v>26500.0</v>
      </c>
      <c r="K38" s="21" t="s">
        <v>52</v>
      </c>
      <c r="L38" s="21" t="s">
        <v>26</v>
      </c>
      <c r="M38" s="21" t="s">
        <v>53</v>
      </c>
      <c r="N38" s="24">
        <v>78600.0</v>
      </c>
      <c r="O38" s="23">
        <v>34.0</v>
      </c>
    </row>
    <row r="39">
      <c r="A39" s="21" t="s">
        <v>45</v>
      </c>
      <c r="B39" s="21" t="s">
        <v>26</v>
      </c>
      <c r="C39" s="21" t="s">
        <v>46</v>
      </c>
      <c r="D39" s="24">
        <v>145000.0</v>
      </c>
      <c r="F39" s="21" t="s">
        <v>86</v>
      </c>
      <c r="G39" s="21" t="s">
        <v>23</v>
      </c>
      <c r="H39" s="21" t="s">
        <v>87</v>
      </c>
      <c r="I39" s="24">
        <v>141200.0</v>
      </c>
      <c r="K39" s="21" t="s">
        <v>45</v>
      </c>
      <c r="L39" s="21" t="s">
        <v>26</v>
      </c>
      <c r="M39" s="21" t="s">
        <v>46</v>
      </c>
      <c r="N39" s="24">
        <v>145000.0</v>
      </c>
      <c r="O39" s="23">
        <v>35.0</v>
      </c>
    </row>
    <row r="40">
      <c r="A40" s="21" t="s">
        <v>80</v>
      </c>
      <c r="B40" s="21" t="s">
        <v>33</v>
      </c>
      <c r="C40" s="21" t="s">
        <v>77</v>
      </c>
      <c r="D40" s="24">
        <v>86055.0</v>
      </c>
      <c r="F40" s="21" t="s">
        <v>88</v>
      </c>
      <c r="G40" s="21" t="s">
        <v>23</v>
      </c>
      <c r="H40" s="21" t="s">
        <v>89</v>
      </c>
      <c r="I40" s="24">
        <v>125600.0</v>
      </c>
      <c r="K40" s="21" t="s">
        <v>80</v>
      </c>
      <c r="L40" s="21" t="s">
        <v>33</v>
      </c>
      <c r="M40" s="21" t="s">
        <v>77</v>
      </c>
      <c r="N40" s="24">
        <v>86055.0</v>
      </c>
      <c r="O40" s="23">
        <v>36.0</v>
      </c>
    </row>
    <row r="41">
      <c r="A41" s="21" t="s">
        <v>88</v>
      </c>
      <c r="B41" s="21" t="s">
        <v>23</v>
      </c>
      <c r="C41" s="21" t="s">
        <v>89</v>
      </c>
      <c r="D41" s="24">
        <v>125600.0</v>
      </c>
      <c r="F41" s="21" t="s">
        <v>81</v>
      </c>
      <c r="G41" s="21" t="s">
        <v>23</v>
      </c>
      <c r="H41" s="21" t="s">
        <v>82</v>
      </c>
      <c r="I41" s="24">
        <v>52100.0</v>
      </c>
      <c r="K41" s="21" t="s">
        <v>88</v>
      </c>
      <c r="L41" s="21" t="s">
        <v>23</v>
      </c>
      <c r="M41" s="21" t="s">
        <v>89</v>
      </c>
      <c r="N41" s="24">
        <v>125600.0</v>
      </c>
      <c r="O41" s="23">
        <v>37.0</v>
      </c>
    </row>
    <row r="42">
      <c r="A42" s="21" t="s">
        <v>54</v>
      </c>
      <c r="B42" s="21" t="s">
        <v>26</v>
      </c>
      <c r="C42" s="21" t="s">
        <v>55</v>
      </c>
      <c r="D42" s="24">
        <v>86500.0</v>
      </c>
      <c r="F42" s="21" t="s">
        <v>78</v>
      </c>
      <c r="G42" s="21" t="s">
        <v>23</v>
      </c>
      <c r="H42" s="21" t="s">
        <v>79</v>
      </c>
      <c r="I42" s="24">
        <v>41200.0</v>
      </c>
      <c r="K42" s="21" t="s">
        <v>54</v>
      </c>
      <c r="L42" s="21" t="s">
        <v>26</v>
      </c>
      <c r="M42" s="21" t="s">
        <v>55</v>
      </c>
      <c r="N42" s="24">
        <v>86500.0</v>
      </c>
      <c r="O42" s="23">
        <v>38.0</v>
      </c>
    </row>
    <row r="43">
      <c r="A43" s="21" t="s">
        <v>49</v>
      </c>
      <c r="B43" s="21" t="s">
        <v>26</v>
      </c>
      <c r="C43" s="21" t="s">
        <v>50</v>
      </c>
      <c r="D43" s="24">
        <v>108357.0</v>
      </c>
      <c r="F43" s="21" t="s">
        <v>66</v>
      </c>
      <c r="G43" s="21" t="s">
        <v>23</v>
      </c>
      <c r="H43" s="21" t="s">
        <v>67</v>
      </c>
      <c r="I43" s="24">
        <v>39400.0</v>
      </c>
      <c r="K43" s="21" t="s">
        <v>49</v>
      </c>
      <c r="L43" s="21" t="s">
        <v>26</v>
      </c>
      <c r="M43" s="21" t="s">
        <v>50</v>
      </c>
      <c r="N43" s="24">
        <v>108357.0</v>
      </c>
      <c r="O43" s="23">
        <v>39.0</v>
      </c>
    </row>
    <row r="44">
      <c r="A44" s="21" t="s">
        <v>90</v>
      </c>
      <c r="B44" s="21" t="s">
        <v>23</v>
      </c>
      <c r="C44" s="21" t="s">
        <v>91</v>
      </c>
      <c r="D44" s="24">
        <v>115000.0</v>
      </c>
      <c r="F44" s="21" t="s">
        <v>90</v>
      </c>
      <c r="G44" s="21" t="s">
        <v>23</v>
      </c>
      <c r="H44" s="21" t="s">
        <v>91</v>
      </c>
      <c r="I44" s="24">
        <v>115000.0</v>
      </c>
      <c r="K44" s="21" t="s">
        <v>90</v>
      </c>
      <c r="L44" s="21" t="s">
        <v>23</v>
      </c>
      <c r="M44" s="21" t="s">
        <v>91</v>
      </c>
      <c r="N44" s="24">
        <v>115000.0</v>
      </c>
      <c r="O44" s="23">
        <v>40.0</v>
      </c>
    </row>
    <row r="45">
      <c r="A45" s="21" t="s">
        <v>84</v>
      </c>
      <c r="B45" s="21" t="s">
        <v>33</v>
      </c>
      <c r="C45" s="21" t="s">
        <v>85</v>
      </c>
      <c r="D45" s="24">
        <v>142000.0</v>
      </c>
      <c r="F45" s="21" t="s">
        <v>47</v>
      </c>
      <c r="G45" s="21" t="s">
        <v>23</v>
      </c>
      <c r="H45" s="21" t="s">
        <v>48</v>
      </c>
      <c r="I45" s="24">
        <v>32800.0</v>
      </c>
      <c r="K45" s="21" t="s">
        <v>84</v>
      </c>
      <c r="L45" s="21" t="s">
        <v>33</v>
      </c>
      <c r="M45" s="21" t="s">
        <v>85</v>
      </c>
      <c r="N45" s="24">
        <v>142000.0</v>
      </c>
      <c r="O45" s="23">
        <v>41.0</v>
      </c>
    </row>
    <row r="46">
      <c r="A46" s="21" t="s">
        <v>86</v>
      </c>
      <c r="B46" s="21" t="s">
        <v>23</v>
      </c>
      <c r="C46" s="21" t="s">
        <v>87</v>
      </c>
      <c r="D46" s="24">
        <v>141200.0</v>
      </c>
      <c r="F46" s="21" t="s">
        <v>51</v>
      </c>
      <c r="G46" s="21" t="s">
        <v>23</v>
      </c>
      <c r="H46" s="21" t="s">
        <v>48</v>
      </c>
      <c r="I46" s="24">
        <v>25900.0</v>
      </c>
      <c r="K46" s="21" t="s">
        <v>86</v>
      </c>
      <c r="L46" s="21" t="s">
        <v>23</v>
      </c>
      <c r="M46" s="21" t="s">
        <v>87</v>
      </c>
      <c r="N46" s="24">
        <v>141200.0</v>
      </c>
      <c r="O46" s="23">
        <v>42.0</v>
      </c>
    </row>
    <row r="47">
      <c r="O47" s="25"/>
    </row>
    <row r="48">
      <c r="O48" s="2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5.5"/>
    <col customWidth="1" min="2" max="2" width="14.5"/>
    <col customWidth="1" min="3" max="3" width="20.5"/>
    <col customWidth="1" min="4" max="4" width="8.88"/>
  </cols>
  <sheetData>
    <row r="1">
      <c r="A1" s="19" t="s">
        <v>92</v>
      </c>
      <c r="B1" s="20"/>
      <c r="C1" s="20"/>
      <c r="D1" s="20"/>
      <c r="E1" s="20"/>
      <c r="F1" s="20"/>
    </row>
    <row r="2">
      <c r="A2" s="21" t="s">
        <v>93</v>
      </c>
      <c r="C2" s="26"/>
    </row>
    <row r="3" outlineLevel="1">
      <c r="C3" s="26" t="s">
        <v>94</v>
      </c>
      <c r="D3" s="27">
        <f>SUBTOTAL(3,A8:A55)</f>
        <v>42</v>
      </c>
    </row>
    <row r="4" outlineLevel="1">
      <c r="C4" s="26" t="s">
        <v>95</v>
      </c>
      <c r="D4" s="28">
        <f>SUBTOTAL(9,D8:D55)</f>
        <v>2473618</v>
      </c>
    </row>
    <row r="5" outlineLevel="1">
      <c r="A5" s="29"/>
      <c r="B5" s="29"/>
      <c r="C5" s="26" t="s">
        <v>96</v>
      </c>
      <c r="D5" s="28">
        <f>SUBTOTAL(1,D8:D55)</f>
        <v>58895.66667</v>
      </c>
    </row>
    <row r="6">
      <c r="A6" s="29"/>
      <c r="B6" s="29"/>
      <c r="C6" s="29"/>
      <c r="D6" s="29"/>
    </row>
    <row r="7">
      <c r="A7" s="22" t="s">
        <v>17</v>
      </c>
      <c r="B7" s="22" t="s">
        <v>18</v>
      </c>
      <c r="C7" s="22" t="s">
        <v>19</v>
      </c>
      <c r="D7" s="22" t="s">
        <v>20</v>
      </c>
    </row>
    <row r="8">
      <c r="A8" s="21" t="s">
        <v>22</v>
      </c>
      <c r="B8" s="21" t="s">
        <v>23</v>
      </c>
      <c r="C8" s="21" t="s">
        <v>24</v>
      </c>
      <c r="D8" s="24">
        <v>25709.0</v>
      </c>
    </row>
    <row r="9">
      <c r="A9" s="21" t="s">
        <v>28</v>
      </c>
      <c r="B9" s="21" t="s">
        <v>29</v>
      </c>
      <c r="C9" s="21" t="s">
        <v>30</v>
      </c>
      <c r="D9" s="24">
        <v>25600.0</v>
      </c>
    </row>
    <row r="10">
      <c r="A10" s="21" t="s">
        <v>32</v>
      </c>
      <c r="B10" s="21" t="s">
        <v>33</v>
      </c>
      <c r="C10" s="21" t="s">
        <v>24</v>
      </c>
      <c r="D10" s="24">
        <v>23500.0</v>
      </c>
    </row>
    <row r="11">
      <c r="A11" s="21" t="s">
        <v>35</v>
      </c>
      <c r="B11" s="21" t="s">
        <v>23</v>
      </c>
      <c r="C11" s="21" t="s">
        <v>24</v>
      </c>
      <c r="D11" s="24">
        <v>26500.0</v>
      </c>
    </row>
    <row r="12">
      <c r="A12" s="21" t="s">
        <v>25</v>
      </c>
      <c r="B12" s="21" t="s">
        <v>26</v>
      </c>
      <c r="C12" s="21" t="s">
        <v>27</v>
      </c>
      <c r="D12" s="24">
        <v>24700.0</v>
      </c>
    </row>
    <row r="13">
      <c r="A13" s="21" t="s">
        <v>38</v>
      </c>
      <c r="B13" s="21" t="s">
        <v>33</v>
      </c>
      <c r="C13" s="21" t="s">
        <v>39</v>
      </c>
      <c r="D13" s="24">
        <v>26500.0</v>
      </c>
    </row>
    <row r="14">
      <c r="A14" s="21" t="s">
        <v>41</v>
      </c>
      <c r="B14" s="21" t="s">
        <v>29</v>
      </c>
      <c r="C14" s="21" t="s">
        <v>24</v>
      </c>
      <c r="D14" s="24">
        <v>30600.0</v>
      </c>
    </row>
    <row r="15">
      <c r="A15" s="21" t="s">
        <v>44</v>
      </c>
      <c r="B15" s="21" t="s">
        <v>33</v>
      </c>
      <c r="C15" s="21" t="s">
        <v>39</v>
      </c>
      <c r="D15" s="24">
        <v>28400.0</v>
      </c>
    </row>
    <row r="16">
      <c r="A16" s="21" t="s">
        <v>47</v>
      </c>
      <c r="B16" s="21" t="s">
        <v>23</v>
      </c>
      <c r="C16" s="21" t="s">
        <v>48</v>
      </c>
      <c r="D16" s="24">
        <v>32800.0</v>
      </c>
    </row>
    <row r="17">
      <c r="A17" s="21" t="s">
        <v>51</v>
      </c>
      <c r="B17" s="21" t="s">
        <v>23</v>
      </c>
      <c r="C17" s="21" t="s">
        <v>48</v>
      </c>
      <c r="D17" s="24">
        <v>25900.0</v>
      </c>
    </row>
    <row r="18">
      <c r="A18" s="21" t="s">
        <v>31</v>
      </c>
      <c r="B18" s="21" t="s">
        <v>26</v>
      </c>
      <c r="C18" s="21" t="s">
        <v>27</v>
      </c>
      <c r="D18" s="24">
        <v>26900.0</v>
      </c>
    </row>
    <row r="19">
      <c r="A19" s="21" t="s">
        <v>34</v>
      </c>
      <c r="B19" s="21" t="s">
        <v>26</v>
      </c>
      <c r="C19" s="21" t="s">
        <v>27</v>
      </c>
      <c r="D19" s="24">
        <v>47200.0</v>
      </c>
    </row>
    <row r="20">
      <c r="A20" s="21" t="s">
        <v>36</v>
      </c>
      <c r="B20" s="21" t="s">
        <v>26</v>
      </c>
      <c r="C20" s="21" t="s">
        <v>30</v>
      </c>
      <c r="D20" s="24">
        <v>29800.0</v>
      </c>
    </row>
    <row r="21">
      <c r="A21" s="21" t="s">
        <v>56</v>
      </c>
      <c r="B21" s="21" t="s">
        <v>29</v>
      </c>
      <c r="C21" s="21" t="s">
        <v>57</v>
      </c>
      <c r="D21" s="24">
        <v>31200.0</v>
      </c>
    </row>
    <row r="22">
      <c r="A22" s="21" t="s">
        <v>60</v>
      </c>
      <c r="B22" s="21" t="s">
        <v>29</v>
      </c>
      <c r="C22" s="21" t="s">
        <v>61</v>
      </c>
      <c r="D22" s="24">
        <v>49500.0</v>
      </c>
    </row>
    <row r="23">
      <c r="A23" s="21" t="s">
        <v>58</v>
      </c>
      <c r="B23" s="21" t="s">
        <v>29</v>
      </c>
      <c r="C23" s="21" t="s">
        <v>59</v>
      </c>
      <c r="D23" s="30">
        <v>58300.0</v>
      </c>
    </row>
    <row r="24">
      <c r="A24" s="21" t="s">
        <v>62</v>
      </c>
      <c r="B24" s="21" t="s">
        <v>29</v>
      </c>
      <c r="C24" s="21" t="s">
        <v>59</v>
      </c>
      <c r="D24" s="24">
        <v>36400.0</v>
      </c>
    </row>
    <row r="25">
      <c r="A25" s="21" t="s">
        <v>65</v>
      </c>
      <c r="B25" s="21" t="s">
        <v>23</v>
      </c>
      <c r="C25" s="21" t="s">
        <v>30</v>
      </c>
      <c r="D25" s="24">
        <v>38500.0</v>
      </c>
    </row>
    <row r="26">
      <c r="A26" s="21" t="s">
        <v>66</v>
      </c>
      <c r="B26" s="21" t="s">
        <v>23</v>
      </c>
      <c r="C26" s="21" t="s">
        <v>67</v>
      </c>
      <c r="D26" s="24">
        <v>39400.0</v>
      </c>
    </row>
    <row r="27">
      <c r="A27" s="21" t="s">
        <v>70</v>
      </c>
      <c r="B27" s="21" t="s">
        <v>23</v>
      </c>
      <c r="C27" s="21" t="s">
        <v>30</v>
      </c>
      <c r="D27" s="24">
        <v>42500.0</v>
      </c>
    </row>
    <row r="28">
      <c r="A28" s="21" t="s">
        <v>37</v>
      </c>
      <c r="B28" s="21" t="s">
        <v>26</v>
      </c>
      <c r="C28" s="21" t="s">
        <v>30</v>
      </c>
      <c r="D28" s="24">
        <v>49727.0</v>
      </c>
    </row>
    <row r="29">
      <c r="A29" s="21" t="s">
        <v>40</v>
      </c>
      <c r="B29" s="21" t="s">
        <v>26</v>
      </c>
      <c r="C29" s="21" t="s">
        <v>30</v>
      </c>
      <c r="D29" s="24">
        <v>49000.0</v>
      </c>
    </row>
    <row r="30">
      <c r="A30" s="21" t="s">
        <v>63</v>
      </c>
      <c r="B30" s="21" t="s">
        <v>29</v>
      </c>
      <c r="C30" s="21" t="s">
        <v>64</v>
      </c>
      <c r="D30" s="24">
        <v>79600.0</v>
      </c>
    </row>
    <row r="31">
      <c r="A31" s="21" t="s">
        <v>68</v>
      </c>
      <c r="B31" s="21" t="s">
        <v>29</v>
      </c>
      <c r="C31" s="21" t="s">
        <v>69</v>
      </c>
      <c r="D31" s="24">
        <v>56500.0</v>
      </c>
    </row>
    <row r="32">
      <c r="A32" s="21" t="s">
        <v>73</v>
      </c>
      <c r="B32" s="21" t="s">
        <v>33</v>
      </c>
      <c r="C32" s="21" t="s">
        <v>74</v>
      </c>
      <c r="D32" s="30">
        <v>59900.0</v>
      </c>
    </row>
    <row r="33">
      <c r="A33" s="21" t="s">
        <v>71</v>
      </c>
      <c r="B33" s="21" t="s">
        <v>33</v>
      </c>
      <c r="C33" s="21" t="s">
        <v>39</v>
      </c>
      <c r="D33" s="24">
        <v>48500.0</v>
      </c>
    </row>
    <row r="34">
      <c r="A34" s="21" t="s">
        <v>78</v>
      </c>
      <c r="B34" s="21" t="s">
        <v>23</v>
      </c>
      <c r="C34" s="21" t="s">
        <v>79</v>
      </c>
      <c r="D34" s="24">
        <v>41200.0</v>
      </c>
    </row>
    <row r="35">
      <c r="A35" s="21" t="s">
        <v>81</v>
      </c>
      <c r="B35" s="21" t="s">
        <v>23</v>
      </c>
      <c r="C35" s="21" t="s">
        <v>82</v>
      </c>
      <c r="D35" s="24">
        <v>52100.0</v>
      </c>
    </row>
    <row r="36">
      <c r="A36" s="21" t="s">
        <v>83</v>
      </c>
      <c r="B36" s="21" t="s">
        <v>33</v>
      </c>
      <c r="C36" s="21" t="s">
        <v>74</v>
      </c>
      <c r="D36" s="24">
        <v>65200.0</v>
      </c>
    </row>
    <row r="37">
      <c r="A37" s="21" t="s">
        <v>72</v>
      </c>
      <c r="B37" s="21" t="s">
        <v>33</v>
      </c>
      <c r="C37" s="21" t="s">
        <v>39</v>
      </c>
      <c r="D37" s="24">
        <v>54600.0</v>
      </c>
    </row>
    <row r="38">
      <c r="A38" s="21" t="s">
        <v>75</v>
      </c>
      <c r="B38" s="21" t="s">
        <v>33</v>
      </c>
      <c r="C38" s="21" t="s">
        <v>39</v>
      </c>
      <c r="D38" s="24">
        <v>51300.0</v>
      </c>
    </row>
    <row r="39">
      <c r="A39" s="21" t="s">
        <v>76</v>
      </c>
      <c r="B39" s="21" t="s">
        <v>33</v>
      </c>
      <c r="C39" s="21" t="s">
        <v>77</v>
      </c>
      <c r="D39" s="24">
        <v>102500.0</v>
      </c>
    </row>
    <row r="40">
      <c r="A40" s="21" t="s">
        <v>42</v>
      </c>
      <c r="B40" s="21" t="s">
        <v>26</v>
      </c>
      <c r="C40" s="21" t="s">
        <v>43</v>
      </c>
      <c r="D40" s="24">
        <v>65270.0</v>
      </c>
    </row>
    <row r="41">
      <c r="A41" s="21" t="s">
        <v>52</v>
      </c>
      <c r="B41" s="21" t="s">
        <v>26</v>
      </c>
      <c r="C41" s="21" t="s">
        <v>53</v>
      </c>
      <c r="D41" s="24">
        <v>78600.0</v>
      </c>
    </row>
    <row r="42">
      <c r="A42" s="21" t="s">
        <v>45</v>
      </c>
      <c r="B42" s="21" t="s">
        <v>26</v>
      </c>
      <c r="C42" s="21" t="s">
        <v>46</v>
      </c>
      <c r="D42" s="24">
        <v>145000.0</v>
      </c>
    </row>
    <row r="43">
      <c r="A43" s="21" t="s">
        <v>80</v>
      </c>
      <c r="B43" s="21" t="s">
        <v>33</v>
      </c>
      <c r="C43" s="21" t="s">
        <v>77</v>
      </c>
      <c r="D43" s="30">
        <v>86055.0</v>
      </c>
    </row>
    <row r="44">
      <c r="A44" s="21" t="s">
        <v>88</v>
      </c>
      <c r="B44" s="21" t="s">
        <v>23</v>
      </c>
      <c r="C44" s="21" t="s">
        <v>89</v>
      </c>
      <c r="D44" s="24">
        <v>125600.0</v>
      </c>
    </row>
    <row r="45">
      <c r="A45" s="21" t="s">
        <v>54</v>
      </c>
      <c r="B45" s="21" t="s">
        <v>26</v>
      </c>
      <c r="C45" s="21" t="s">
        <v>55</v>
      </c>
      <c r="D45" s="24">
        <v>86500.0</v>
      </c>
    </row>
    <row r="46">
      <c r="A46" s="21" t="s">
        <v>49</v>
      </c>
      <c r="B46" s="21" t="s">
        <v>26</v>
      </c>
      <c r="C46" s="21" t="s">
        <v>50</v>
      </c>
      <c r="D46" s="24">
        <v>108357.0</v>
      </c>
    </row>
    <row r="47">
      <c r="A47" s="21" t="s">
        <v>90</v>
      </c>
      <c r="B47" s="21" t="s">
        <v>23</v>
      </c>
      <c r="C47" s="21" t="s">
        <v>91</v>
      </c>
      <c r="D47" s="24">
        <v>115000.0</v>
      </c>
    </row>
    <row r="48">
      <c r="A48" s="21" t="s">
        <v>84</v>
      </c>
      <c r="B48" s="21" t="s">
        <v>33</v>
      </c>
      <c r="C48" s="21" t="s">
        <v>85</v>
      </c>
      <c r="D48" s="24">
        <v>142000.0</v>
      </c>
    </row>
    <row r="49">
      <c r="A49" s="21" t="s">
        <v>86</v>
      </c>
      <c r="B49" s="21" t="s">
        <v>23</v>
      </c>
      <c r="C49" s="21" t="s">
        <v>87</v>
      </c>
      <c r="D49" s="24">
        <v>141200.0</v>
      </c>
    </row>
  </sheetData>
  <autoFilter ref="$A$7:$D$49"/>
  <customSheetViews>
    <customSheetView guid="{5D779767-9C89-4659-84EF-32C63EB0C3A9}" filter="1" showAutoFilter="1">
      <autoFilter ref="$A$7:$D$49">
        <filterColumn colId="2">
          <customFilters>
            <customFilter val="*Manager*"/>
          </customFilters>
        </filterColumn>
        <sortState ref="A7:D49">
          <sortCondition descending="1" ref="D7:D49"/>
        </sortState>
      </autoFilter>
    </customSheetView>
    <customSheetView guid="{3FAA43E5-F17D-4D94-BBDC-8D14E761B288}" filter="1" showAutoFilter="1">
      <autoFilter ref="$A$7:$D$49">
        <filterColumn colId="1">
          <filters>
            <filter val="Sales"/>
          </filters>
        </filterColumn>
        <filterColumn colId="3">
          <customFilters>
            <customFilter operator="greaterThan" val="40000"/>
          </customFilters>
        </filterColumn>
        <sortState ref="A7:D49">
          <sortCondition descending="1" ref="D7:D49"/>
        </sortState>
      </autoFilter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3.25"/>
    <col customWidth="1" min="3" max="3" width="18.25"/>
    <col customWidth="1" min="5" max="5" width="21.88"/>
    <col customWidth="1" min="6" max="6" width="7.63"/>
    <col customWidth="1" min="7" max="7" width="7.75"/>
    <col customWidth="1" min="9" max="9" width="29.88"/>
  </cols>
  <sheetData>
    <row r="1">
      <c r="A1" s="19" t="s">
        <v>97</v>
      </c>
      <c r="B1" s="20"/>
      <c r="C1" s="20"/>
      <c r="D1" s="20"/>
      <c r="E1" s="20"/>
      <c r="F1" s="20"/>
      <c r="G1" s="20"/>
    </row>
    <row r="2">
      <c r="A2" s="21" t="s">
        <v>98</v>
      </c>
    </row>
    <row r="3">
      <c r="A3" s="21">
        <v>1.0</v>
      </c>
      <c r="B3" s="21" t="s">
        <v>99</v>
      </c>
    </row>
    <row r="4">
      <c r="A4" s="21">
        <v>2.0</v>
      </c>
      <c r="B4" s="21" t="s">
        <v>100</v>
      </c>
    </row>
    <row r="5">
      <c r="A5" s="21" t="s">
        <v>101</v>
      </c>
      <c r="D5" s="31" t="b">
        <v>0</v>
      </c>
      <c r="E5" s="32" t="s">
        <v>102</v>
      </c>
    </row>
    <row r="7">
      <c r="A7" s="33" t="s">
        <v>103</v>
      </c>
      <c r="B7" s="33" t="s">
        <v>104</v>
      </c>
      <c r="C7" s="33" t="s">
        <v>105</v>
      </c>
      <c r="D7" s="33" t="s">
        <v>106</v>
      </c>
      <c r="E7" s="33" t="s">
        <v>107</v>
      </c>
      <c r="F7" s="33" t="s">
        <v>108</v>
      </c>
      <c r="G7" s="33" t="s">
        <v>109</v>
      </c>
      <c r="H7" s="21" t="s">
        <v>110</v>
      </c>
    </row>
    <row r="8">
      <c r="A8" s="34" t="s">
        <v>111</v>
      </c>
      <c r="B8" s="35">
        <v>71162.0</v>
      </c>
      <c r="C8" s="36">
        <v>43831.0</v>
      </c>
      <c r="D8" s="34" t="s">
        <v>112</v>
      </c>
      <c r="E8" s="34" t="s">
        <v>113</v>
      </c>
      <c r="F8" s="35">
        <v>410.0</v>
      </c>
      <c r="G8" s="35">
        <v>4920.4</v>
      </c>
      <c r="H8" s="37">
        <f t="shared" ref="H8:H99" si="1">counta(A8:G8)</f>
        <v>7</v>
      </c>
    </row>
    <row r="9">
      <c r="A9" s="34" t="s">
        <v>111</v>
      </c>
      <c r="B9" s="35">
        <v>71107.0</v>
      </c>
      <c r="C9" s="36">
        <v>43831.0</v>
      </c>
      <c r="D9" s="34" t="s">
        <v>112</v>
      </c>
      <c r="E9" s="34" t="s">
        <v>114</v>
      </c>
      <c r="F9" s="35">
        <v>341.0</v>
      </c>
      <c r="G9" s="35">
        <v>4433.27</v>
      </c>
      <c r="H9" s="37">
        <f t="shared" si="1"/>
        <v>7</v>
      </c>
    </row>
    <row r="10">
      <c r="A10" s="34" t="s">
        <v>111</v>
      </c>
      <c r="B10" s="35">
        <v>71118.0</v>
      </c>
      <c r="C10" s="36">
        <v>43831.0</v>
      </c>
      <c r="D10" s="34" t="s">
        <v>112</v>
      </c>
      <c r="E10" s="34" t="s">
        <v>114</v>
      </c>
      <c r="F10" s="35">
        <v>227.0</v>
      </c>
      <c r="G10" s="35">
        <v>2951.4</v>
      </c>
      <c r="H10" s="37">
        <f t="shared" si="1"/>
        <v>7</v>
      </c>
    </row>
    <row r="11">
      <c r="A11" s="34" t="s">
        <v>111</v>
      </c>
      <c r="B11" s="35">
        <v>71122.0</v>
      </c>
      <c r="C11" s="36">
        <v>43831.0</v>
      </c>
      <c r="D11" s="34" t="s">
        <v>112</v>
      </c>
      <c r="E11" s="34" t="s">
        <v>115</v>
      </c>
      <c r="F11" s="35">
        <v>287.0</v>
      </c>
      <c r="G11" s="35">
        <v>5166.4</v>
      </c>
      <c r="H11" s="37">
        <f t="shared" si="1"/>
        <v>7</v>
      </c>
    </row>
    <row r="12">
      <c r="A12" s="34" t="s">
        <v>111</v>
      </c>
      <c r="B12" s="35">
        <v>71160.0</v>
      </c>
      <c r="C12" s="36">
        <v>43831.0</v>
      </c>
      <c r="D12" s="34" t="s">
        <v>116</v>
      </c>
      <c r="E12" s="34" t="s">
        <v>117</v>
      </c>
      <c r="F12" s="35">
        <v>332.0</v>
      </c>
      <c r="G12" s="35">
        <v>20584.4</v>
      </c>
      <c r="H12" s="37">
        <f t="shared" si="1"/>
        <v>7</v>
      </c>
    </row>
    <row r="13">
      <c r="A13" s="34" t="s">
        <v>111</v>
      </c>
      <c r="B13" s="35">
        <v>71141.0</v>
      </c>
      <c r="C13" s="36">
        <v>43831.0</v>
      </c>
      <c r="D13" s="34" t="s">
        <v>116</v>
      </c>
      <c r="E13" s="34"/>
      <c r="F13" s="35">
        <v>209.0</v>
      </c>
      <c r="G13" s="35">
        <v>12958.25</v>
      </c>
      <c r="H13" s="37">
        <f t="shared" si="1"/>
        <v>6</v>
      </c>
    </row>
    <row r="14">
      <c r="A14" s="34" t="s">
        <v>111</v>
      </c>
      <c r="B14" s="35">
        <v>71112.0</v>
      </c>
      <c r="C14" s="36">
        <v>43831.0</v>
      </c>
      <c r="D14" s="34" t="s">
        <v>116</v>
      </c>
      <c r="E14" s="34" t="s">
        <v>118</v>
      </c>
      <c r="F14" s="35">
        <v>213.0</v>
      </c>
      <c r="G14" s="35">
        <v>3834.11</v>
      </c>
      <c r="H14" s="37">
        <f t="shared" si="1"/>
        <v>7</v>
      </c>
    </row>
    <row r="15">
      <c r="A15" s="34" t="s">
        <v>111</v>
      </c>
      <c r="B15" s="35">
        <v>71133.0</v>
      </c>
      <c r="C15" s="36">
        <v>43831.0</v>
      </c>
      <c r="D15" s="34" t="s">
        <v>112</v>
      </c>
      <c r="E15" s="34" t="s">
        <v>119</v>
      </c>
      <c r="F15" s="35">
        <v>312.0</v>
      </c>
      <c r="G15" s="35">
        <v>3120.49</v>
      </c>
      <c r="H15" s="37">
        <f t="shared" si="1"/>
        <v>7</v>
      </c>
    </row>
    <row r="16">
      <c r="A16" s="34" t="s">
        <v>111</v>
      </c>
      <c r="B16" s="35">
        <v>71112.0</v>
      </c>
      <c r="C16" s="36">
        <v>43831.0</v>
      </c>
      <c r="D16" s="34" t="s">
        <v>112</v>
      </c>
      <c r="E16" s="34" t="s">
        <v>120</v>
      </c>
      <c r="F16" s="35">
        <v>388.0</v>
      </c>
      <c r="G16" s="35">
        <v>4656.21</v>
      </c>
      <c r="H16" s="37">
        <f t="shared" si="1"/>
        <v>7</v>
      </c>
    </row>
    <row r="17">
      <c r="A17" s="34" t="s">
        <v>111</v>
      </c>
      <c r="B17" s="35">
        <v>71195.0</v>
      </c>
      <c r="C17" s="36">
        <v>43841.0</v>
      </c>
      <c r="D17" s="34"/>
      <c r="E17" s="34" t="s">
        <v>121</v>
      </c>
      <c r="F17" s="35">
        <v>199.0</v>
      </c>
      <c r="G17" s="35">
        <v>4975.4</v>
      </c>
      <c r="H17" s="37">
        <f t="shared" si="1"/>
        <v>6</v>
      </c>
    </row>
    <row r="18">
      <c r="A18" s="34" t="s">
        <v>111</v>
      </c>
      <c r="B18" s="35">
        <v>71123.0</v>
      </c>
      <c r="C18" s="36">
        <v>43841.0</v>
      </c>
      <c r="D18" s="34" t="s">
        <v>112</v>
      </c>
      <c r="E18" s="34" t="s">
        <v>114</v>
      </c>
      <c r="F18" s="35">
        <v>384.0</v>
      </c>
      <c r="G18" s="35">
        <v>4992.28</v>
      </c>
      <c r="H18" s="37">
        <f t="shared" si="1"/>
        <v>7</v>
      </c>
    </row>
    <row r="19">
      <c r="A19" s="34" t="s">
        <v>111</v>
      </c>
      <c r="B19" s="35">
        <v>71110.0</v>
      </c>
      <c r="C19" s="36">
        <v>43841.0</v>
      </c>
      <c r="D19" s="34" t="s">
        <v>116</v>
      </c>
      <c r="E19" s="34" t="s">
        <v>122</v>
      </c>
      <c r="F19" s="35">
        <v>351.0</v>
      </c>
      <c r="G19" s="35">
        <v>8775.32</v>
      </c>
      <c r="H19" s="37">
        <f t="shared" si="1"/>
        <v>7</v>
      </c>
    </row>
    <row r="20">
      <c r="A20" s="34" t="s">
        <v>111</v>
      </c>
      <c r="B20" s="35">
        <v>71126.0</v>
      </c>
      <c r="C20" s="36">
        <v>43841.0</v>
      </c>
      <c r="D20" s="34" t="s">
        <v>116</v>
      </c>
      <c r="E20" s="34" t="s">
        <v>123</v>
      </c>
      <c r="F20" s="35">
        <v>323.0</v>
      </c>
      <c r="G20" s="35">
        <v>8075.4</v>
      </c>
      <c r="H20" s="37">
        <f t="shared" si="1"/>
        <v>7</v>
      </c>
    </row>
    <row r="21">
      <c r="A21" s="34" t="s">
        <v>111</v>
      </c>
      <c r="B21" s="35">
        <v>71166.0</v>
      </c>
      <c r="C21" s="36">
        <v>43841.0</v>
      </c>
      <c r="D21" s="34" t="s">
        <v>116</v>
      </c>
      <c r="E21" s="34" t="s">
        <v>124</v>
      </c>
      <c r="F21" s="35">
        <v>363.0</v>
      </c>
      <c r="G21" s="35">
        <v>22506.4</v>
      </c>
      <c r="H21" s="37">
        <f t="shared" si="1"/>
        <v>7</v>
      </c>
    </row>
    <row r="22">
      <c r="A22" s="34" t="s">
        <v>111</v>
      </c>
      <c r="B22" s="35">
        <v>71137.0</v>
      </c>
      <c r="C22" s="36">
        <v>43841.0</v>
      </c>
      <c r="D22" s="34" t="s">
        <v>112</v>
      </c>
      <c r="E22" s="34" t="s">
        <v>125</v>
      </c>
      <c r="F22" s="35">
        <v>370.0</v>
      </c>
      <c r="G22" s="35">
        <v>22200.46</v>
      </c>
      <c r="H22" s="37">
        <f t="shared" si="1"/>
        <v>7</v>
      </c>
    </row>
    <row r="23">
      <c r="A23" s="34" t="s">
        <v>111</v>
      </c>
      <c r="B23" s="35">
        <v>71176.0</v>
      </c>
      <c r="C23" s="36">
        <v>43841.0</v>
      </c>
      <c r="D23" s="34" t="s">
        <v>112</v>
      </c>
      <c r="E23" s="34" t="s">
        <v>118</v>
      </c>
      <c r="F23" s="35">
        <v>392.0</v>
      </c>
      <c r="G23" s="35">
        <v>7056.4</v>
      </c>
      <c r="H23" s="37">
        <f t="shared" si="1"/>
        <v>7</v>
      </c>
    </row>
    <row r="24">
      <c r="A24" s="34" t="s">
        <v>111</v>
      </c>
      <c r="B24" s="35">
        <v>71173.0</v>
      </c>
      <c r="C24" s="36">
        <v>43841.0</v>
      </c>
      <c r="D24" s="34" t="s">
        <v>116</v>
      </c>
      <c r="E24" s="34" t="s">
        <v>125</v>
      </c>
      <c r="F24" s="35">
        <v>236.0</v>
      </c>
      <c r="G24" s="35">
        <v>14160.4</v>
      </c>
      <c r="H24" s="37">
        <f t="shared" si="1"/>
        <v>7</v>
      </c>
    </row>
    <row r="25">
      <c r="A25" s="34" t="s">
        <v>111</v>
      </c>
      <c r="B25" s="35">
        <v>71194.0</v>
      </c>
      <c r="C25" s="36">
        <v>43841.0</v>
      </c>
      <c r="D25" s="34" t="s">
        <v>116</v>
      </c>
      <c r="E25" s="34" t="s">
        <v>126</v>
      </c>
      <c r="F25" s="35">
        <v>200.0</v>
      </c>
      <c r="G25" s="35">
        <v>2400.07</v>
      </c>
      <c r="H25" s="37">
        <f t="shared" si="1"/>
        <v>7</v>
      </c>
    </row>
    <row r="26">
      <c r="A26" s="34" t="s">
        <v>111</v>
      </c>
      <c r="B26" s="35">
        <v>71166.0</v>
      </c>
      <c r="C26" s="36">
        <v>43841.0</v>
      </c>
      <c r="D26" s="34" t="s">
        <v>112</v>
      </c>
      <c r="E26" s="34" t="s">
        <v>127</v>
      </c>
      <c r="F26" s="35">
        <v>373.0</v>
      </c>
      <c r="G26" s="35">
        <v>4849.04</v>
      </c>
      <c r="H26" s="37">
        <f t="shared" si="1"/>
        <v>7</v>
      </c>
    </row>
    <row r="27">
      <c r="A27" s="34" t="s">
        <v>111</v>
      </c>
      <c r="B27" s="35">
        <v>71147.0</v>
      </c>
      <c r="C27" s="36">
        <v>43841.0</v>
      </c>
      <c r="D27" s="34" t="s">
        <v>112</v>
      </c>
      <c r="E27" s="34" t="s">
        <v>115</v>
      </c>
      <c r="F27" s="35">
        <v>314.0</v>
      </c>
      <c r="G27" s="35">
        <v>5652.33</v>
      </c>
      <c r="H27" s="37">
        <f t="shared" si="1"/>
        <v>7</v>
      </c>
    </row>
    <row r="28">
      <c r="A28" s="34" t="s">
        <v>111</v>
      </c>
      <c r="B28" s="35">
        <v>71130.0</v>
      </c>
      <c r="C28" s="36">
        <v>43841.0</v>
      </c>
      <c r="D28" s="34" t="s">
        <v>112</v>
      </c>
      <c r="E28" s="34" t="s">
        <v>117</v>
      </c>
      <c r="F28" s="35">
        <v>183.0</v>
      </c>
      <c r="G28" s="35">
        <v>11346.4</v>
      </c>
      <c r="H28" s="37">
        <f t="shared" si="1"/>
        <v>7</v>
      </c>
    </row>
    <row r="29">
      <c r="A29" s="34" t="s">
        <v>111</v>
      </c>
      <c r="B29" s="35">
        <v>71112.0</v>
      </c>
      <c r="C29" s="36">
        <v>43841.0</v>
      </c>
      <c r="D29" s="34" t="s">
        <v>116</v>
      </c>
      <c r="E29" s="34" t="s">
        <v>115</v>
      </c>
      <c r="F29" s="35">
        <v>330.0</v>
      </c>
      <c r="G29" s="35">
        <v>5940.4</v>
      </c>
      <c r="H29" s="37">
        <f t="shared" si="1"/>
        <v>7</v>
      </c>
    </row>
    <row r="30">
      <c r="A30" s="34" t="s">
        <v>111</v>
      </c>
      <c r="B30" s="35">
        <v>71185.0</v>
      </c>
      <c r="C30" s="36">
        <v>43841.0</v>
      </c>
      <c r="D30" s="34" t="s">
        <v>116</v>
      </c>
      <c r="E30" s="34" t="s">
        <v>128</v>
      </c>
      <c r="F30" s="35">
        <v>267.0</v>
      </c>
      <c r="G30" s="35">
        <v>1602.19</v>
      </c>
      <c r="H30" s="37">
        <f t="shared" si="1"/>
        <v>7</v>
      </c>
    </row>
    <row r="31">
      <c r="A31" s="34" t="s">
        <v>111</v>
      </c>
      <c r="B31" s="35">
        <v>71189.0</v>
      </c>
      <c r="C31" s="36">
        <v>43841.0</v>
      </c>
      <c r="D31" s="34" t="s">
        <v>112</v>
      </c>
      <c r="E31" s="34" t="s">
        <v>129</v>
      </c>
      <c r="F31" s="35">
        <v>435.0</v>
      </c>
      <c r="G31" s="35">
        <v>26100.47</v>
      </c>
      <c r="H31" s="37">
        <f t="shared" si="1"/>
        <v>7</v>
      </c>
    </row>
    <row r="32">
      <c r="A32" s="34" t="s">
        <v>111</v>
      </c>
      <c r="B32" s="35">
        <v>71178.0</v>
      </c>
      <c r="C32" s="36">
        <v>43841.0</v>
      </c>
      <c r="D32" s="34" t="s">
        <v>112</v>
      </c>
      <c r="E32" s="34" t="s">
        <v>113</v>
      </c>
      <c r="F32" s="35">
        <v>426.0</v>
      </c>
      <c r="G32" s="35">
        <v>5112.28</v>
      </c>
      <c r="H32" s="37">
        <f t="shared" si="1"/>
        <v>7</v>
      </c>
    </row>
    <row r="33">
      <c r="A33" s="34" t="s">
        <v>111</v>
      </c>
      <c r="B33" s="35">
        <v>71149.0</v>
      </c>
      <c r="C33" s="36">
        <v>43841.0</v>
      </c>
      <c r="D33" s="34" t="s">
        <v>116</v>
      </c>
      <c r="E33" s="34" t="s">
        <v>123</v>
      </c>
      <c r="F33" s="35">
        <v>288.0</v>
      </c>
      <c r="G33" s="35">
        <v>7200.33</v>
      </c>
      <c r="H33" s="37">
        <f t="shared" si="1"/>
        <v>7</v>
      </c>
    </row>
    <row r="34">
      <c r="A34" s="34" t="s">
        <v>111</v>
      </c>
      <c r="B34" s="35">
        <v>71181.0</v>
      </c>
      <c r="C34" s="36">
        <v>43841.0</v>
      </c>
      <c r="D34" s="34" t="s">
        <v>116</v>
      </c>
      <c r="E34" s="34" t="s">
        <v>130</v>
      </c>
      <c r="F34" s="35">
        <v>346.0</v>
      </c>
      <c r="G34" s="35">
        <v>4152.4</v>
      </c>
      <c r="H34" s="37">
        <f t="shared" si="1"/>
        <v>7</v>
      </c>
    </row>
    <row r="35">
      <c r="A35" s="34" t="s">
        <v>111</v>
      </c>
      <c r="B35" s="35">
        <v>71181.0</v>
      </c>
      <c r="C35" s="36">
        <v>43841.0</v>
      </c>
      <c r="D35" s="34" t="s">
        <v>116</v>
      </c>
      <c r="E35" s="34" t="s">
        <v>123</v>
      </c>
      <c r="F35" s="35">
        <v>253.0</v>
      </c>
      <c r="G35" s="35">
        <v>6325.4</v>
      </c>
      <c r="H35" s="37">
        <f t="shared" si="1"/>
        <v>7</v>
      </c>
    </row>
    <row r="36">
      <c r="A36" s="34" t="s">
        <v>111</v>
      </c>
      <c r="B36" s="35">
        <v>71190.0</v>
      </c>
      <c r="C36" s="36">
        <v>43841.0</v>
      </c>
      <c r="D36" s="34" t="s">
        <v>112</v>
      </c>
      <c r="E36" s="34" t="s">
        <v>119</v>
      </c>
      <c r="F36" s="35">
        <v>196.0</v>
      </c>
      <c r="G36" s="35">
        <v>1960.4</v>
      </c>
      <c r="H36" s="37">
        <f t="shared" si="1"/>
        <v>7</v>
      </c>
    </row>
    <row r="37">
      <c r="A37" s="34" t="s">
        <v>111</v>
      </c>
      <c r="B37" s="35">
        <v>71117.0</v>
      </c>
      <c r="C37" s="36">
        <v>43841.0</v>
      </c>
      <c r="D37" s="34" t="s">
        <v>112</v>
      </c>
      <c r="E37" s="34" t="s">
        <v>121</v>
      </c>
      <c r="F37" s="35">
        <v>242.0</v>
      </c>
      <c r="G37" s="35">
        <v>6050.4</v>
      </c>
      <c r="H37" s="37">
        <f t="shared" si="1"/>
        <v>7</v>
      </c>
    </row>
    <row r="38">
      <c r="A38" s="34" t="s">
        <v>111</v>
      </c>
      <c r="B38" s="35">
        <v>71176.0</v>
      </c>
      <c r="C38" s="36">
        <v>43841.0</v>
      </c>
      <c r="D38" s="34" t="s">
        <v>116</v>
      </c>
      <c r="E38" s="34" t="s">
        <v>131</v>
      </c>
      <c r="F38" s="35">
        <v>256.0</v>
      </c>
      <c r="G38" s="35">
        <v>6400.4</v>
      </c>
      <c r="H38" s="37">
        <f t="shared" si="1"/>
        <v>7</v>
      </c>
    </row>
    <row r="39">
      <c r="A39" s="34" t="s">
        <v>111</v>
      </c>
      <c r="B39" s="35">
        <v>71123.0</v>
      </c>
      <c r="C39" s="36">
        <v>43841.0</v>
      </c>
      <c r="D39" s="34" t="s">
        <v>116</v>
      </c>
      <c r="E39" s="34" t="s">
        <v>130</v>
      </c>
      <c r="F39" s="35">
        <v>335.0</v>
      </c>
      <c r="G39" s="35">
        <v>4020.34</v>
      </c>
      <c r="H39" s="37">
        <f t="shared" si="1"/>
        <v>7</v>
      </c>
    </row>
    <row r="40">
      <c r="A40" s="34" t="s">
        <v>111</v>
      </c>
      <c r="B40" s="35">
        <v>71153.0</v>
      </c>
      <c r="C40" s="36">
        <v>43841.0</v>
      </c>
      <c r="D40" s="34" t="s">
        <v>116</v>
      </c>
      <c r="E40" s="34" t="s">
        <v>113</v>
      </c>
      <c r="F40" s="35">
        <v>337.0</v>
      </c>
      <c r="G40" s="35">
        <v>4044.4</v>
      </c>
      <c r="H40" s="37">
        <f t="shared" si="1"/>
        <v>7</v>
      </c>
    </row>
    <row r="41">
      <c r="A41" s="34" t="s">
        <v>111</v>
      </c>
      <c r="B41" s="35">
        <v>71123.0</v>
      </c>
      <c r="C41" s="36">
        <v>43841.0</v>
      </c>
      <c r="D41" s="34" t="s">
        <v>112</v>
      </c>
      <c r="E41" s="34" t="s">
        <v>119</v>
      </c>
      <c r="F41" s="35">
        <v>435.0</v>
      </c>
      <c r="G41" s="35">
        <v>4350.39</v>
      </c>
      <c r="H41" s="37">
        <f t="shared" si="1"/>
        <v>7</v>
      </c>
    </row>
    <row r="42">
      <c r="A42" s="34" t="s">
        <v>111</v>
      </c>
      <c r="B42" s="35">
        <v>71102.0</v>
      </c>
      <c r="C42" s="36">
        <v>43841.0</v>
      </c>
      <c r="D42" s="34" t="s">
        <v>112</v>
      </c>
      <c r="E42" s="34" t="s">
        <v>132</v>
      </c>
      <c r="F42" s="35">
        <v>243.0</v>
      </c>
      <c r="G42" s="35">
        <v>1458.4</v>
      </c>
      <c r="H42" s="37">
        <f t="shared" si="1"/>
        <v>7</v>
      </c>
    </row>
    <row r="43">
      <c r="A43" s="34" t="s">
        <v>111</v>
      </c>
      <c r="B43" s="35">
        <v>71191.0</v>
      </c>
      <c r="C43" s="36">
        <v>43851.0</v>
      </c>
      <c r="D43" s="34" t="s">
        <v>116</v>
      </c>
      <c r="E43" s="34" t="s">
        <v>133</v>
      </c>
      <c r="F43" s="35">
        <v>333.0</v>
      </c>
      <c r="G43" s="35">
        <v>6660.4</v>
      </c>
      <c r="H43" s="37">
        <f t="shared" si="1"/>
        <v>7</v>
      </c>
    </row>
    <row r="44">
      <c r="A44" s="34" t="s">
        <v>111</v>
      </c>
      <c r="B44" s="35">
        <v>71108.0</v>
      </c>
      <c r="C44" s="36">
        <v>43851.0</v>
      </c>
      <c r="D44" s="34" t="s">
        <v>116</v>
      </c>
      <c r="E44" s="34" t="s">
        <v>120</v>
      </c>
      <c r="F44" s="35">
        <v>265.0</v>
      </c>
      <c r="G44" s="35">
        <v>3180.48</v>
      </c>
      <c r="H44" s="37">
        <f t="shared" si="1"/>
        <v>7</v>
      </c>
    </row>
    <row r="45">
      <c r="A45" s="34" t="s">
        <v>111</v>
      </c>
      <c r="B45" s="35">
        <v>71185.0</v>
      </c>
      <c r="C45" s="36">
        <v>43851.0</v>
      </c>
      <c r="D45" s="34" t="s">
        <v>112</v>
      </c>
      <c r="E45" s="34" t="s">
        <v>114</v>
      </c>
      <c r="F45" s="35">
        <v>151.0</v>
      </c>
      <c r="G45" s="35">
        <v>1963.01</v>
      </c>
      <c r="H45" s="37">
        <f t="shared" si="1"/>
        <v>7</v>
      </c>
    </row>
    <row r="46">
      <c r="A46" s="34" t="s">
        <v>111</v>
      </c>
      <c r="B46" s="35">
        <v>71179.0</v>
      </c>
      <c r="C46" s="36">
        <v>43851.0</v>
      </c>
      <c r="D46" s="34" t="s">
        <v>112</v>
      </c>
      <c r="E46" s="34" t="s">
        <v>118</v>
      </c>
      <c r="F46" s="35">
        <v>407.0</v>
      </c>
      <c r="G46" s="35">
        <v>7326.14</v>
      </c>
      <c r="H46" s="37">
        <f t="shared" si="1"/>
        <v>7</v>
      </c>
    </row>
    <row r="47">
      <c r="A47" s="34" t="s">
        <v>111</v>
      </c>
      <c r="B47" s="35">
        <v>71115.0</v>
      </c>
      <c r="C47" s="36">
        <v>43851.0</v>
      </c>
      <c r="D47" s="34" t="s">
        <v>112</v>
      </c>
      <c r="E47" s="34" t="s">
        <v>128</v>
      </c>
      <c r="F47" s="35">
        <v>290.0</v>
      </c>
      <c r="G47" s="35">
        <v>1740.23</v>
      </c>
      <c r="H47" s="37">
        <f t="shared" si="1"/>
        <v>7</v>
      </c>
    </row>
    <row r="48">
      <c r="A48" s="34" t="s">
        <v>111</v>
      </c>
      <c r="B48" s="35">
        <v>71183.0</v>
      </c>
      <c r="C48" s="36">
        <v>43851.0</v>
      </c>
      <c r="D48" s="34" t="s">
        <v>116</v>
      </c>
      <c r="E48" s="34" t="s">
        <v>117</v>
      </c>
      <c r="F48" s="35">
        <v>366.0</v>
      </c>
      <c r="G48" s="35">
        <v>22692.4</v>
      </c>
      <c r="H48" s="37">
        <f t="shared" si="1"/>
        <v>7</v>
      </c>
    </row>
    <row r="49">
      <c r="A49" s="34" t="s">
        <v>111</v>
      </c>
      <c r="B49" s="35">
        <v>71188.0</v>
      </c>
      <c r="C49" s="36">
        <v>43851.0</v>
      </c>
      <c r="D49" s="34" t="s">
        <v>116</v>
      </c>
      <c r="E49" s="34" t="s">
        <v>121</v>
      </c>
      <c r="F49" s="35">
        <v>376.0</v>
      </c>
      <c r="G49" s="35">
        <v>9400.4</v>
      </c>
      <c r="H49" s="37">
        <f t="shared" si="1"/>
        <v>7</v>
      </c>
    </row>
    <row r="50">
      <c r="A50" s="34" t="s">
        <v>111</v>
      </c>
      <c r="B50" s="35">
        <v>71135.0</v>
      </c>
      <c r="C50" s="36">
        <v>43851.0</v>
      </c>
      <c r="D50" s="34" t="s">
        <v>112</v>
      </c>
      <c r="E50" s="34" t="s">
        <v>124</v>
      </c>
      <c r="F50" s="35">
        <v>340.0</v>
      </c>
      <c r="G50" s="35">
        <v>21080.41</v>
      </c>
      <c r="H50" s="37">
        <f t="shared" si="1"/>
        <v>7</v>
      </c>
    </row>
    <row r="51">
      <c r="A51" s="34" t="s">
        <v>111</v>
      </c>
      <c r="B51" s="35">
        <v>71178.0</v>
      </c>
      <c r="C51" s="36">
        <v>43851.0</v>
      </c>
      <c r="D51" s="34" t="s">
        <v>112</v>
      </c>
      <c r="E51" s="34" t="s">
        <v>121</v>
      </c>
      <c r="F51" s="35">
        <v>314.0</v>
      </c>
      <c r="G51" s="35">
        <v>7850.4</v>
      </c>
      <c r="H51" s="37">
        <f t="shared" si="1"/>
        <v>7</v>
      </c>
    </row>
    <row r="52">
      <c r="A52" s="34" t="s">
        <v>111</v>
      </c>
      <c r="B52" s="35">
        <v>71120.0</v>
      </c>
      <c r="C52" s="36">
        <v>43851.0</v>
      </c>
      <c r="D52" s="34" t="s">
        <v>112</v>
      </c>
      <c r="E52" s="34" t="s">
        <v>115</v>
      </c>
      <c r="F52" s="35">
        <v>151.0</v>
      </c>
      <c r="G52" s="35">
        <v>2718.4</v>
      </c>
      <c r="H52" s="37">
        <f t="shared" si="1"/>
        <v>7</v>
      </c>
    </row>
    <row r="53">
      <c r="A53" s="34" t="s">
        <v>111</v>
      </c>
      <c r="B53" s="35">
        <v>71110.0</v>
      </c>
      <c r="C53" s="36">
        <v>43859.0</v>
      </c>
      <c r="D53" s="34" t="s">
        <v>116</v>
      </c>
      <c r="E53" s="34" t="s">
        <v>113</v>
      </c>
      <c r="F53" s="35">
        <v>354.0</v>
      </c>
      <c r="G53" s="35">
        <v>4248.4</v>
      </c>
      <c r="H53" s="37">
        <f t="shared" si="1"/>
        <v>7</v>
      </c>
    </row>
    <row r="54">
      <c r="A54" s="34" t="s">
        <v>111</v>
      </c>
      <c r="B54" s="35">
        <v>70552.0</v>
      </c>
      <c r="C54" s="36">
        <v>43863.0</v>
      </c>
      <c r="D54" s="34" t="s">
        <v>112</v>
      </c>
      <c r="E54" s="34" t="s">
        <v>120</v>
      </c>
      <c r="F54" s="35">
        <v>255.0</v>
      </c>
      <c r="G54" s="35">
        <v>3060.49</v>
      </c>
      <c r="H54" s="37">
        <f t="shared" si="1"/>
        <v>7</v>
      </c>
    </row>
    <row r="55">
      <c r="A55" s="34" t="s">
        <v>111</v>
      </c>
      <c r="B55" s="35">
        <v>71069.0</v>
      </c>
      <c r="C55" s="36">
        <v>43863.0</v>
      </c>
      <c r="D55" s="34" t="s">
        <v>112</v>
      </c>
      <c r="E55" s="34" t="s">
        <v>122</v>
      </c>
      <c r="F55" s="35">
        <v>428.0</v>
      </c>
      <c r="G55" s="35">
        <v>10700.31</v>
      </c>
      <c r="H55" s="37">
        <f t="shared" si="1"/>
        <v>7</v>
      </c>
    </row>
    <row r="56">
      <c r="A56" s="34" t="s">
        <v>111</v>
      </c>
      <c r="B56" s="35">
        <v>70310.0</v>
      </c>
      <c r="C56" s="36">
        <v>43863.0</v>
      </c>
      <c r="D56" s="34" t="s">
        <v>112</v>
      </c>
      <c r="E56" s="34" t="s">
        <v>122</v>
      </c>
      <c r="F56" s="35">
        <v>168.0</v>
      </c>
      <c r="G56" s="35">
        <v>4200.4</v>
      </c>
      <c r="H56" s="37">
        <f t="shared" si="1"/>
        <v>7</v>
      </c>
    </row>
    <row r="57">
      <c r="A57" s="34" t="s">
        <v>111</v>
      </c>
      <c r="B57" s="35">
        <v>70233.0</v>
      </c>
      <c r="C57" s="36">
        <v>43863.0</v>
      </c>
      <c r="D57" s="34" t="s">
        <v>112</v>
      </c>
      <c r="E57" s="34" t="s">
        <v>119</v>
      </c>
      <c r="F57" s="35">
        <v>177.0</v>
      </c>
      <c r="G57" s="35">
        <v>1770.4</v>
      </c>
      <c r="H57" s="37">
        <f t="shared" si="1"/>
        <v>7</v>
      </c>
    </row>
    <row r="58">
      <c r="A58" s="34" t="s">
        <v>111</v>
      </c>
      <c r="B58" s="35">
        <v>70459.0</v>
      </c>
      <c r="C58" s="36">
        <v>43863.0</v>
      </c>
      <c r="D58" s="34" t="s">
        <v>116</v>
      </c>
      <c r="E58" s="34" t="s">
        <v>124</v>
      </c>
      <c r="F58" s="35">
        <v>317.0</v>
      </c>
      <c r="G58" s="35">
        <v>19654.43</v>
      </c>
      <c r="H58" s="37">
        <f t="shared" si="1"/>
        <v>7</v>
      </c>
    </row>
    <row r="59">
      <c r="A59" s="34" t="s">
        <v>111</v>
      </c>
      <c r="B59" s="35">
        <v>70133.0</v>
      </c>
      <c r="C59" s="36">
        <v>43863.0</v>
      </c>
      <c r="D59" s="34" t="s">
        <v>116</v>
      </c>
      <c r="E59" s="34" t="s">
        <v>122</v>
      </c>
      <c r="F59" s="35">
        <v>188.0</v>
      </c>
      <c r="G59" s="35">
        <v>4700.4</v>
      </c>
      <c r="H59" s="37">
        <f t="shared" si="1"/>
        <v>7</v>
      </c>
    </row>
    <row r="60">
      <c r="A60" s="34" t="s">
        <v>111</v>
      </c>
      <c r="B60" s="35">
        <v>70158.0</v>
      </c>
      <c r="C60" s="36">
        <v>43863.0</v>
      </c>
      <c r="D60" s="34" t="s">
        <v>116</v>
      </c>
      <c r="E60" s="34" t="s">
        <v>119</v>
      </c>
      <c r="F60" s="35">
        <v>384.0</v>
      </c>
      <c r="G60" s="35">
        <v>3840.4</v>
      </c>
      <c r="H60" s="37">
        <f t="shared" si="1"/>
        <v>7</v>
      </c>
    </row>
    <row r="61">
      <c r="A61" s="34" t="s">
        <v>111</v>
      </c>
      <c r="B61" s="35">
        <v>70450.0</v>
      </c>
      <c r="C61" s="36">
        <v>43863.0</v>
      </c>
      <c r="D61" s="34" t="s">
        <v>112</v>
      </c>
      <c r="E61" s="34" t="s">
        <v>125</v>
      </c>
      <c r="F61" s="35">
        <v>275.0</v>
      </c>
      <c r="G61" s="35">
        <v>16500.4</v>
      </c>
      <c r="H61" s="37">
        <f t="shared" si="1"/>
        <v>7</v>
      </c>
    </row>
    <row r="62">
      <c r="A62" s="34" t="s">
        <v>111</v>
      </c>
      <c r="B62" s="35">
        <v>70517.0</v>
      </c>
      <c r="C62" s="36">
        <v>43863.0</v>
      </c>
      <c r="D62" s="34" t="s">
        <v>112</v>
      </c>
      <c r="E62" s="34" t="s">
        <v>128</v>
      </c>
      <c r="F62" s="35">
        <v>383.0</v>
      </c>
      <c r="G62" s="35">
        <v>2298.22</v>
      </c>
      <c r="H62" s="37">
        <f t="shared" si="1"/>
        <v>7</v>
      </c>
    </row>
    <row r="63">
      <c r="A63" s="34" t="s">
        <v>111</v>
      </c>
      <c r="B63" s="35">
        <v>70710.0</v>
      </c>
      <c r="C63" s="36">
        <v>43872.0</v>
      </c>
      <c r="D63" s="34" t="s">
        <v>112</v>
      </c>
      <c r="E63" s="34" t="s">
        <v>119</v>
      </c>
      <c r="F63" s="35">
        <v>334.0</v>
      </c>
      <c r="G63" s="35">
        <v>3340.4</v>
      </c>
      <c r="H63" s="37">
        <f t="shared" si="1"/>
        <v>7</v>
      </c>
    </row>
    <row r="64">
      <c r="A64" s="34" t="s">
        <v>111</v>
      </c>
      <c r="B64" s="35">
        <v>70984.0</v>
      </c>
      <c r="C64" s="36">
        <v>43872.0</v>
      </c>
      <c r="D64" s="34" t="s">
        <v>112</v>
      </c>
      <c r="E64" s="34" t="s">
        <v>133</v>
      </c>
      <c r="F64" s="35">
        <v>357.0</v>
      </c>
      <c r="G64" s="35">
        <v>7140.4</v>
      </c>
      <c r="H64" s="37">
        <f t="shared" si="1"/>
        <v>7</v>
      </c>
    </row>
    <row r="65">
      <c r="A65" s="34" t="s">
        <v>111</v>
      </c>
      <c r="B65" s="35">
        <v>70599.0</v>
      </c>
      <c r="C65" s="36">
        <v>43872.0</v>
      </c>
      <c r="D65" s="34" t="s">
        <v>116</v>
      </c>
      <c r="E65" s="34" t="s">
        <v>120</v>
      </c>
      <c r="F65" s="35">
        <v>238.0</v>
      </c>
      <c r="G65" s="35">
        <v>2856.4</v>
      </c>
      <c r="H65" s="37">
        <f t="shared" si="1"/>
        <v>7</v>
      </c>
    </row>
    <row r="66">
      <c r="A66" s="34" t="s">
        <v>111</v>
      </c>
      <c r="B66" s="35">
        <v>70653.0</v>
      </c>
      <c r="C66" s="36">
        <v>43872.0</v>
      </c>
      <c r="D66" s="34" t="s">
        <v>116</v>
      </c>
      <c r="E66" s="34" t="s">
        <v>123</v>
      </c>
      <c r="F66" s="35">
        <v>382.0</v>
      </c>
      <c r="G66" s="35">
        <v>9550.4</v>
      </c>
      <c r="H66" s="37">
        <f t="shared" si="1"/>
        <v>7</v>
      </c>
    </row>
    <row r="67">
      <c r="A67" s="34" t="s">
        <v>111</v>
      </c>
      <c r="B67" s="35">
        <v>70049.0</v>
      </c>
      <c r="C67" s="36">
        <v>43872.0</v>
      </c>
      <c r="D67" s="34" t="s">
        <v>116</v>
      </c>
      <c r="E67" s="34" t="s">
        <v>133</v>
      </c>
      <c r="F67" s="35">
        <v>439.0</v>
      </c>
      <c r="G67" s="35">
        <v>8780.06</v>
      </c>
      <c r="H67" s="37">
        <f t="shared" si="1"/>
        <v>7</v>
      </c>
    </row>
    <row r="68">
      <c r="A68" s="34" t="s">
        <v>111</v>
      </c>
      <c r="B68" s="35">
        <v>70144.0</v>
      </c>
      <c r="C68" s="36">
        <v>43872.0</v>
      </c>
      <c r="D68" s="34" t="s">
        <v>112</v>
      </c>
      <c r="E68" s="34" t="s">
        <v>131</v>
      </c>
      <c r="F68" s="35">
        <v>251.0</v>
      </c>
      <c r="G68" s="35">
        <v>6275.44</v>
      </c>
      <c r="H68" s="37">
        <f t="shared" si="1"/>
        <v>7</v>
      </c>
    </row>
    <row r="69">
      <c r="A69" s="34" t="s">
        <v>111</v>
      </c>
      <c r="B69" s="35">
        <v>70043.0</v>
      </c>
      <c r="C69" s="36">
        <v>43872.0</v>
      </c>
      <c r="D69" s="34" t="s">
        <v>112</v>
      </c>
      <c r="E69" s="34" t="s">
        <v>119</v>
      </c>
      <c r="F69" s="35">
        <v>254.0</v>
      </c>
      <c r="G69" s="35">
        <v>2540.4</v>
      </c>
      <c r="H69" s="37">
        <f t="shared" si="1"/>
        <v>7</v>
      </c>
    </row>
    <row r="70">
      <c r="A70" s="34" t="s">
        <v>111</v>
      </c>
      <c r="B70" s="35">
        <v>70206.0</v>
      </c>
      <c r="C70" s="36">
        <v>43873.0</v>
      </c>
      <c r="D70" s="34" t="s">
        <v>116</v>
      </c>
      <c r="E70" s="34" t="s">
        <v>132</v>
      </c>
      <c r="F70" s="35">
        <v>390.0</v>
      </c>
      <c r="G70" s="35">
        <v>2340.4</v>
      </c>
      <c r="H70" s="37">
        <f t="shared" si="1"/>
        <v>7</v>
      </c>
    </row>
    <row r="71">
      <c r="A71" s="34" t="s">
        <v>111</v>
      </c>
      <c r="B71" s="35">
        <v>70754.0</v>
      </c>
      <c r="C71" s="36">
        <v>43873.0</v>
      </c>
      <c r="D71" s="34" t="s">
        <v>116</v>
      </c>
      <c r="E71" s="34" t="s">
        <v>120</v>
      </c>
      <c r="F71" s="35">
        <v>162.0</v>
      </c>
      <c r="G71" s="35">
        <v>1944.0</v>
      </c>
      <c r="H71" s="37">
        <f t="shared" si="1"/>
        <v>7</v>
      </c>
    </row>
    <row r="72">
      <c r="A72" s="34" t="s">
        <v>111</v>
      </c>
      <c r="B72" s="35">
        <v>70524.0</v>
      </c>
      <c r="C72" s="36">
        <v>43873.0</v>
      </c>
      <c r="D72" s="34" t="s">
        <v>112</v>
      </c>
      <c r="E72" s="34" t="s">
        <v>132</v>
      </c>
      <c r="F72" s="35">
        <v>392.0</v>
      </c>
      <c r="G72" s="35">
        <v>2352.46</v>
      </c>
      <c r="H72" s="37">
        <f t="shared" si="1"/>
        <v>7</v>
      </c>
    </row>
    <row r="73">
      <c r="A73" s="34" t="s">
        <v>111</v>
      </c>
      <c r="B73" s="35">
        <v>70442.0</v>
      </c>
      <c r="C73" s="36">
        <v>43873.0</v>
      </c>
      <c r="D73" s="34" t="s">
        <v>112</v>
      </c>
      <c r="E73" s="34" t="s">
        <v>114</v>
      </c>
      <c r="F73" s="35">
        <v>150.0</v>
      </c>
      <c r="G73" s="35">
        <v>1950.4</v>
      </c>
      <c r="H73" s="37">
        <f t="shared" si="1"/>
        <v>7</v>
      </c>
    </row>
    <row r="74">
      <c r="A74" s="34" t="s">
        <v>111</v>
      </c>
      <c r="B74" s="35">
        <v>71015.0</v>
      </c>
      <c r="C74" s="36">
        <v>43873.0</v>
      </c>
      <c r="D74" s="34" t="s">
        <v>112</v>
      </c>
      <c r="E74" s="34" t="s">
        <v>133</v>
      </c>
      <c r="F74" s="35">
        <v>197.0</v>
      </c>
      <c r="G74" s="35">
        <v>3940.4</v>
      </c>
      <c r="H74" s="37">
        <f t="shared" si="1"/>
        <v>7</v>
      </c>
    </row>
    <row r="75">
      <c r="A75" s="34" t="s">
        <v>111</v>
      </c>
      <c r="B75" s="35">
        <v>71099.0</v>
      </c>
      <c r="C75" s="36">
        <v>43873.0</v>
      </c>
      <c r="D75" s="34" t="s">
        <v>116</v>
      </c>
      <c r="E75" s="34" t="s">
        <v>118</v>
      </c>
      <c r="F75" s="35">
        <v>440.0</v>
      </c>
      <c r="G75" s="35">
        <v>7920.1</v>
      </c>
      <c r="H75" s="37">
        <f t="shared" si="1"/>
        <v>7</v>
      </c>
    </row>
    <row r="76">
      <c r="A76" s="34" t="s">
        <v>111</v>
      </c>
      <c r="B76" s="35">
        <v>70621.0</v>
      </c>
      <c r="C76" s="36">
        <v>43873.0</v>
      </c>
      <c r="D76" s="34" t="s">
        <v>116</v>
      </c>
      <c r="E76" s="34" t="s">
        <v>132</v>
      </c>
      <c r="F76" s="35">
        <v>196.0</v>
      </c>
      <c r="G76" s="35">
        <v>1176.4</v>
      </c>
      <c r="H76" s="37">
        <f t="shared" si="1"/>
        <v>7</v>
      </c>
    </row>
    <row r="77">
      <c r="A77" s="34" t="s">
        <v>111</v>
      </c>
      <c r="B77" s="35">
        <v>70083.0</v>
      </c>
      <c r="C77" s="36">
        <v>43873.0</v>
      </c>
      <c r="D77" s="34" t="s">
        <v>112</v>
      </c>
      <c r="E77" s="34" t="s">
        <v>114</v>
      </c>
      <c r="F77" s="35">
        <v>210.0</v>
      </c>
      <c r="G77" s="35">
        <v>2730.3</v>
      </c>
      <c r="H77" s="37">
        <f t="shared" si="1"/>
        <v>7</v>
      </c>
    </row>
    <row r="78">
      <c r="A78" s="34" t="s">
        <v>111</v>
      </c>
      <c r="B78" s="35">
        <v>70394.0</v>
      </c>
      <c r="C78" s="36">
        <v>43873.0</v>
      </c>
      <c r="D78" s="34" t="s">
        <v>112</v>
      </c>
      <c r="E78" s="34" t="s">
        <v>117</v>
      </c>
      <c r="F78" s="35">
        <v>293.0</v>
      </c>
      <c r="G78" s="35">
        <v>18166.4</v>
      </c>
      <c r="H78" s="37">
        <f t="shared" si="1"/>
        <v>7</v>
      </c>
    </row>
    <row r="79">
      <c r="A79" s="34" t="s">
        <v>111</v>
      </c>
      <c r="B79" s="35">
        <v>70007.0</v>
      </c>
      <c r="C79" s="36">
        <v>43873.0</v>
      </c>
      <c r="D79" s="34" t="s">
        <v>116</v>
      </c>
      <c r="E79" s="34" t="s">
        <v>124</v>
      </c>
      <c r="F79" s="35">
        <v>187.0</v>
      </c>
      <c r="G79" s="35">
        <v>11594.4</v>
      </c>
      <c r="H79" s="37">
        <f t="shared" si="1"/>
        <v>7</v>
      </c>
    </row>
    <row r="80">
      <c r="A80" s="34" t="s">
        <v>111</v>
      </c>
      <c r="B80" s="35">
        <v>70130.0</v>
      </c>
      <c r="C80" s="36">
        <v>43873.0</v>
      </c>
      <c r="D80" s="34" t="s">
        <v>116</v>
      </c>
      <c r="E80" s="34" t="s">
        <v>133</v>
      </c>
      <c r="F80" s="35">
        <v>364.0</v>
      </c>
      <c r="G80" s="35">
        <v>7280.04</v>
      </c>
      <c r="H80" s="37">
        <f t="shared" si="1"/>
        <v>7</v>
      </c>
    </row>
    <row r="81">
      <c r="A81" s="34" t="s">
        <v>111</v>
      </c>
      <c r="B81" s="35">
        <v>70331.0</v>
      </c>
      <c r="C81" s="36">
        <v>43873.0</v>
      </c>
      <c r="D81" s="34" t="s">
        <v>116</v>
      </c>
      <c r="E81" s="34" t="s">
        <v>131</v>
      </c>
      <c r="F81" s="35">
        <v>175.0</v>
      </c>
      <c r="G81" s="35">
        <v>4375.4</v>
      </c>
      <c r="H81" s="37">
        <f t="shared" si="1"/>
        <v>7</v>
      </c>
    </row>
    <row r="82">
      <c r="A82" s="34" t="s">
        <v>111</v>
      </c>
      <c r="B82" s="35">
        <v>70646.0</v>
      </c>
      <c r="C82" s="36">
        <v>43873.0</v>
      </c>
      <c r="D82" s="34" t="s">
        <v>112</v>
      </c>
      <c r="E82" s="34" t="s">
        <v>122</v>
      </c>
      <c r="F82" s="35">
        <v>313.0</v>
      </c>
      <c r="G82" s="35">
        <v>7825.4</v>
      </c>
      <c r="H82" s="37">
        <f t="shared" si="1"/>
        <v>7</v>
      </c>
    </row>
    <row r="83">
      <c r="A83" s="34" t="s">
        <v>111</v>
      </c>
      <c r="B83" s="35">
        <v>70489.0</v>
      </c>
      <c r="C83" s="36">
        <v>43873.0</v>
      </c>
      <c r="D83" s="34" t="s">
        <v>112</v>
      </c>
      <c r="E83" s="34" t="s">
        <v>124</v>
      </c>
      <c r="F83" s="35">
        <v>378.0</v>
      </c>
      <c r="G83" s="35">
        <v>23436.1</v>
      </c>
      <c r="H83" s="37">
        <f t="shared" si="1"/>
        <v>7</v>
      </c>
    </row>
    <row r="84">
      <c r="A84" s="34" t="s">
        <v>111</v>
      </c>
      <c r="B84" s="35">
        <v>70732.0</v>
      </c>
      <c r="C84" s="36">
        <v>43873.0</v>
      </c>
      <c r="D84" s="34" t="s">
        <v>116</v>
      </c>
      <c r="E84" s="34" t="s">
        <v>123</v>
      </c>
      <c r="F84" s="35">
        <v>365.0</v>
      </c>
      <c r="G84" s="35">
        <v>9125.2</v>
      </c>
      <c r="H84" s="37">
        <f t="shared" si="1"/>
        <v>7</v>
      </c>
    </row>
    <row r="85">
      <c r="A85" s="34" t="s">
        <v>111</v>
      </c>
      <c r="B85" s="35">
        <v>70386.0</v>
      </c>
      <c r="C85" s="36">
        <v>43873.0</v>
      </c>
      <c r="D85" s="34" t="s">
        <v>116</v>
      </c>
      <c r="E85" s="34"/>
      <c r="F85" s="35">
        <v>369.0</v>
      </c>
      <c r="G85" s="35">
        <v>4797.42</v>
      </c>
      <c r="H85" s="37">
        <f t="shared" si="1"/>
        <v>6</v>
      </c>
    </row>
    <row r="86">
      <c r="A86" s="34" t="s">
        <v>111</v>
      </c>
      <c r="B86" s="35">
        <v>70070.0</v>
      </c>
      <c r="C86" s="36">
        <v>43873.0</v>
      </c>
      <c r="D86" s="34" t="s">
        <v>116</v>
      </c>
      <c r="E86" s="34" t="s">
        <v>115</v>
      </c>
      <c r="F86" s="35">
        <v>192.0</v>
      </c>
      <c r="G86" s="35">
        <v>3456.19</v>
      </c>
      <c r="H86" s="37">
        <f t="shared" si="1"/>
        <v>7</v>
      </c>
    </row>
    <row r="87">
      <c r="A87" s="34" t="s">
        <v>111</v>
      </c>
      <c r="B87" s="35">
        <v>70055.0</v>
      </c>
      <c r="C87" s="36">
        <v>43873.0</v>
      </c>
      <c r="D87" s="34" t="s">
        <v>112</v>
      </c>
      <c r="E87" s="34" t="s">
        <v>129</v>
      </c>
      <c r="F87" s="35">
        <v>377.0</v>
      </c>
      <c r="G87" s="35">
        <v>22620.03</v>
      </c>
      <c r="H87" s="37">
        <f t="shared" si="1"/>
        <v>7</v>
      </c>
    </row>
    <row r="88">
      <c r="A88" s="34" t="s">
        <v>111</v>
      </c>
      <c r="B88" s="35">
        <v>70698.0</v>
      </c>
      <c r="C88" s="36">
        <v>43873.0</v>
      </c>
      <c r="D88" s="34" t="s">
        <v>112</v>
      </c>
      <c r="E88" s="34" t="s">
        <v>121</v>
      </c>
      <c r="F88" s="35">
        <v>403.0</v>
      </c>
      <c r="G88" s="35">
        <v>10075.18</v>
      </c>
      <c r="H88" s="37">
        <f t="shared" si="1"/>
        <v>7</v>
      </c>
    </row>
    <row r="89">
      <c r="A89" s="34" t="s">
        <v>111</v>
      </c>
      <c r="B89" s="35">
        <v>70863.0</v>
      </c>
      <c r="C89" s="36">
        <v>43882.0</v>
      </c>
      <c r="D89" s="34" t="s">
        <v>116</v>
      </c>
      <c r="E89" s="34" t="s">
        <v>123</v>
      </c>
      <c r="F89" s="35">
        <v>359.0</v>
      </c>
      <c r="G89" s="35">
        <v>8975.4</v>
      </c>
      <c r="H89" s="37">
        <f t="shared" si="1"/>
        <v>7</v>
      </c>
    </row>
    <row r="90">
      <c r="A90" s="34" t="s">
        <v>111</v>
      </c>
      <c r="B90" s="35">
        <v>70003.0</v>
      </c>
      <c r="C90" s="36">
        <v>43882.0</v>
      </c>
      <c r="D90" s="34" t="s">
        <v>116</v>
      </c>
      <c r="E90" s="34" t="s">
        <v>119</v>
      </c>
      <c r="F90" s="35">
        <v>411.0</v>
      </c>
      <c r="G90" s="35">
        <v>4110.4</v>
      </c>
      <c r="H90" s="37">
        <f t="shared" si="1"/>
        <v>7</v>
      </c>
    </row>
    <row r="91">
      <c r="A91" s="34" t="s">
        <v>111</v>
      </c>
      <c r="B91" s="35">
        <v>70778.0</v>
      </c>
      <c r="C91" s="36">
        <v>43882.0</v>
      </c>
      <c r="D91" s="34" t="s">
        <v>112</v>
      </c>
      <c r="E91" s="34" t="s">
        <v>115</v>
      </c>
      <c r="F91" s="35">
        <v>212.0</v>
      </c>
      <c r="G91" s="35">
        <v>3816.4</v>
      </c>
      <c r="H91" s="37">
        <f t="shared" si="1"/>
        <v>7</v>
      </c>
    </row>
    <row r="92">
      <c r="A92" s="34" t="s">
        <v>111</v>
      </c>
      <c r="B92" s="35">
        <v>70096.0</v>
      </c>
      <c r="C92" s="36">
        <v>43882.0</v>
      </c>
      <c r="D92" s="34" t="s">
        <v>112</v>
      </c>
      <c r="E92" s="34" t="s">
        <v>129</v>
      </c>
      <c r="F92" s="35">
        <v>383.0</v>
      </c>
      <c r="G92" s="35">
        <v>22980.19</v>
      </c>
      <c r="H92" s="37">
        <f t="shared" si="1"/>
        <v>7</v>
      </c>
    </row>
    <row r="93">
      <c r="A93" s="34" t="s">
        <v>111</v>
      </c>
      <c r="B93" s="35">
        <v>70822.0</v>
      </c>
      <c r="C93" s="36">
        <v>43882.0</v>
      </c>
      <c r="D93" s="34" t="s">
        <v>112</v>
      </c>
      <c r="E93" s="34" t="s">
        <v>123</v>
      </c>
      <c r="F93" s="35">
        <v>410.0</v>
      </c>
      <c r="G93" s="35">
        <v>10250.4</v>
      </c>
      <c r="H93" s="37">
        <f t="shared" si="1"/>
        <v>7</v>
      </c>
    </row>
    <row r="94">
      <c r="A94" s="34" t="s">
        <v>111</v>
      </c>
      <c r="B94" s="35">
        <v>70373.0</v>
      </c>
      <c r="C94" s="36">
        <v>43882.0</v>
      </c>
      <c r="D94" s="34" t="s">
        <v>116</v>
      </c>
      <c r="E94" s="34" t="s">
        <v>132</v>
      </c>
      <c r="F94" s="35">
        <v>299.0</v>
      </c>
      <c r="G94" s="35">
        <v>1794.35</v>
      </c>
      <c r="H94" s="37">
        <f t="shared" si="1"/>
        <v>7</v>
      </c>
    </row>
    <row r="95">
      <c r="A95" s="34" t="s">
        <v>111</v>
      </c>
      <c r="B95" s="35">
        <v>70083.0</v>
      </c>
      <c r="C95" s="36">
        <v>43882.0</v>
      </c>
      <c r="D95" s="34" t="s">
        <v>116</v>
      </c>
      <c r="E95" s="34" t="s">
        <v>121</v>
      </c>
      <c r="F95" s="35">
        <v>253.0</v>
      </c>
      <c r="G95" s="35">
        <v>6325.14</v>
      </c>
      <c r="H95" s="37">
        <f t="shared" si="1"/>
        <v>7</v>
      </c>
    </row>
    <row r="96">
      <c r="A96" s="34" t="s">
        <v>111</v>
      </c>
      <c r="B96" s="35">
        <v>71085.0</v>
      </c>
      <c r="C96" s="36">
        <v>43883.0</v>
      </c>
      <c r="D96" s="34" t="s">
        <v>112</v>
      </c>
      <c r="E96" s="34" t="s">
        <v>132</v>
      </c>
      <c r="F96" s="35">
        <v>201.0</v>
      </c>
      <c r="G96" s="35">
        <v>1206.22</v>
      </c>
      <c r="H96" s="37">
        <f t="shared" si="1"/>
        <v>7</v>
      </c>
    </row>
    <row r="97">
      <c r="A97" s="34" t="s">
        <v>111</v>
      </c>
      <c r="B97" s="35">
        <v>70330.0</v>
      </c>
      <c r="C97" s="36">
        <v>43883.0</v>
      </c>
      <c r="D97" s="34" t="s">
        <v>112</v>
      </c>
      <c r="E97" s="34" t="s">
        <v>125</v>
      </c>
      <c r="F97" s="35">
        <v>326.0</v>
      </c>
      <c r="G97" s="35">
        <v>19560.4</v>
      </c>
      <c r="H97" s="37">
        <f t="shared" si="1"/>
        <v>7</v>
      </c>
    </row>
    <row r="98">
      <c r="A98" s="34" t="s">
        <v>111</v>
      </c>
      <c r="B98" s="35">
        <v>70928.0</v>
      </c>
      <c r="C98" s="36">
        <v>43883.0</v>
      </c>
      <c r="D98" s="34" t="s">
        <v>112</v>
      </c>
      <c r="E98" s="34" t="s">
        <v>130</v>
      </c>
      <c r="F98" s="35">
        <v>340.0</v>
      </c>
      <c r="G98" s="35">
        <v>4080.4</v>
      </c>
      <c r="H98" s="37">
        <f t="shared" si="1"/>
        <v>7</v>
      </c>
    </row>
    <row r="99">
      <c r="A99" s="34" t="s">
        <v>111</v>
      </c>
      <c r="B99" s="35">
        <v>70242.0</v>
      </c>
      <c r="C99" s="36">
        <v>43890.0</v>
      </c>
      <c r="D99" s="34" t="s">
        <v>116</v>
      </c>
      <c r="E99" s="34" t="s">
        <v>123</v>
      </c>
      <c r="F99" s="35">
        <v>265.0</v>
      </c>
      <c r="G99" s="35">
        <v>6625.4</v>
      </c>
      <c r="H99" s="37">
        <f t="shared" si="1"/>
        <v>7</v>
      </c>
    </row>
  </sheetData>
  <autoFilter ref="$A$7:$H$99"/>
  <conditionalFormatting sqref="E5">
    <cfRule type="expression" dxfId="3" priority="1">
      <formula>D5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3.75"/>
    <col customWidth="1" min="4" max="4" width="27.25"/>
    <col customWidth="1" min="5" max="6" width="7.25"/>
    <col customWidth="1" min="7" max="7" width="1.25"/>
    <col customWidth="1" min="9" max="9" width="17.13"/>
    <col customWidth="1" min="10" max="10" width="5.63"/>
    <col customWidth="1" min="11" max="11" width="1.25"/>
    <col customWidth="1" min="12" max="12" width="25.75"/>
  </cols>
  <sheetData>
    <row r="1">
      <c r="A1" s="19" t="s">
        <v>11</v>
      </c>
      <c r="B1" s="20"/>
      <c r="C1" s="20"/>
      <c r="D1" s="20"/>
      <c r="G1" s="38"/>
      <c r="K1" s="38"/>
    </row>
    <row r="2">
      <c r="A2" s="21" t="s">
        <v>134</v>
      </c>
      <c r="C2" s="21"/>
      <c r="D2" s="21" t="s">
        <v>135</v>
      </c>
      <c r="G2" s="38"/>
      <c r="H2" s="21" t="s">
        <v>136</v>
      </c>
      <c r="K2" s="38"/>
      <c r="L2" s="21" t="s">
        <v>137</v>
      </c>
    </row>
    <row r="3">
      <c r="G3" s="38"/>
      <c r="K3" s="38"/>
    </row>
    <row r="4">
      <c r="A4" s="22" t="s">
        <v>17</v>
      </c>
      <c r="C4" s="29"/>
      <c r="D4" s="22" t="s">
        <v>138</v>
      </c>
      <c r="E4" s="34"/>
      <c r="F4" s="34"/>
      <c r="G4" s="38"/>
      <c r="H4" s="22" t="s">
        <v>18</v>
      </c>
      <c r="I4" s="22" t="s">
        <v>19</v>
      </c>
      <c r="K4" s="38"/>
      <c r="L4" s="22" t="s">
        <v>107</v>
      </c>
    </row>
    <row r="5">
      <c r="A5" s="21" t="s">
        <v>139</v>
      </c>
      <c r="B5" s="21" t="s">
        <v>140</v>
      </c>
      <c r="C5" s="34"/>
      <c r="D5" s="34" t="s">
        <v>23</v>
      </c>
      <c r="E5" s="34" t="s">
        <v>24</v>
      </c>
      <c r="F5" s="34">
        <v>25709.0</v>
      </c>
      <c r="G5" s="38"/>
      <c r="H5" s="39" t="s">
        <v>23</v>
      </c>
      <c r="I5" s="39" t="s">
        <v>24</v>
      </c>
      <c r="K5" s="38"/>
      <c r="L5" s="21" t="s">
        <v>141</v>
      </c>
      <c r="M5" s="21" t="s">
        <v>142</v>
      </c>
    </row>
    <row r="6">
      <c r="A6" s="21" t="s">
        <v>143</v>
      </c>
      <c r="B6" s="21" t="s">
        <v>144</v>
      </c>
      <c r="C6" s="34"/>
      <c r="D6" s="34" t="s">
        <v>29</v>
      </c>
      <c r="E6" s="34" t="s">
        <v>30</v>
      </c>
      <c r="F6" s="34">
        <v>25600.0</v>
      </c>
      <c r="G6" s="38"/>
      <c r="H6" s="39" t="s">
        <v>29</v>
      </c>
      <c r="I6" s="39" t="s">
        <v>30</v>
      </c>
      <c r="K6" s="38"/>
      <c r="L6" s="21" t="s">
        <v>145</v>
      </c>
      <c r="M6" s="21" t="s">
        <v>146</v>
      </c>
    </row>
    <row r="7">
      <c r="A7" s="21" t="s">
        <v>147</v>
      </c>
      <c r="B7" s="21" t="s">
        <v>148</v>
      </c>
      <c r="C7" s="34"/>
      <c r="D7" s="34" t="s">
        <v>33</v>
      </c>
      <c r="E7" s="34" t="s">
        <v>24</v>
      </c>
      <c r="F7" s="34">
        <v>23500.0</v>
      </c>
      <c r="G7" s="38"/>
      <c r="H7" s="39" t="s">
        <v>33</v>
      </c>
      <c r="I7" s="39" t="s">
        <v>24</v>
      </c>
      <c r="K7" s="38"/>
      <c r="L7" s="21" t="s">
        <v>149</v>
      </c>
      <c r="M7" s="21" t="s">
        <v>150</v>
      </c>
    </row>
    <row r="8">
      <c r="A8" s="21" t="s">
        <v>151</v>
      </c>
      <c r="B8" s="21" t="s">
        <v>152</v>
      </c>
      <c r="C8" s="34"/>
      <c r="D8" s="34" t="s">
        <v>23</v>
      </c>
      <c r="E8" s="34" t="s">
        <v>24</v>
      </c>
      <c r="F8" s="34">
        <v>26500.0</v>
      </c>
      <c r="G8" s="38"/>
      <c r="H8" s="39" t="s">
        <v>26</v>
      </c>
      <c r="I8" s="39" t="s">
        <v>27</v>
      </c>
      <c r="K8" s="38"/>
      <c r="L8" s="21" t="s">
        <v>153</v>
      </c>
      <c r="M8" s="21" t="s">
        <v>154</v>
      </c>
    </row>
    <row r="9">
      <c r="A9" s="21" t="s">
        <v>155</v>
      </c>
      <c r="B9" s="21" t="s">
        <v>156</v>
      </c>
      <c r="C9" s="34"/>
      <c r="D9" s="34" t="s">
        <v>26</v>
      </c>
      <c r="E9" s="34" t="s">
        <v>27</v>
      </c>
      <c r="F9" s="34">
        <v>24700.0</v>
      </c>
      <c r="G9" s="38"/>
      <c r="H9" s="39" t="s">
        <v>33</v>
      </c>
      <c r="I9" s="39" t="s">
        <v>39</v>
      </c>
      <c r="K9" s="38"/>
      <c r="L9" s="21" t="s">
        <v>145</v>
      </c>
      <c r="M9" s="21" t="s">
        <v>154</v>
      </c>
    </row>
    <row r="10">
      <c r="A10" s="21" t="s">
        <v>157</v>
      </c>
      <c r="B10" s="21" t="s">
        <v>158</v>
      </c>
      <c r="C10" s="34"/>
      <c r="D10" s="34" t="s">
        <v>33</v>
      </c>
      <c r="E10" s="34" t="s">
        <v>39</v>
      </c>
      <c r="F10" s="34">
        <v>26500.0</v>
      </c>
      <c r="G10" s="38"/>
      <c r="H10" s="39" t="s">
        <v>29</v>
      </c>
      <c r="I10" s="39" t="s">
        <v>24</v>
      </c>
      <c r="K10" s="38"/>
      <c r="L10" s="21" t="s">
        <v>141</v>
      </c>
      <c r="M10" s="21" t="s">
        <v>159</v>
      </c>
    </row>
    <row r="11">
      <c r="A11" s="21" t="s">
        <v>160</v>
      </c>
      <c r="B11" s="21" t="s">
        <v>161</v>
      </c>
      <c r="C11" s="34"/>
      <c r="D11" s="34" t="s">
        <v>29</v>
      </c>
      <c r="E11" s="34" t="s">
        <v>24</v>
      </c>
      <c r="F11" s="34">
        <v>30600.0</v>
      </c>
      <c r="G11" s="38"/>
      <c r="H11" s="39" t="s">
        <v>23</v>
      </c>
      <c r="I11" s="39" t="s">
        <v>48</v>
      </c>
      <c r="K11" s="38"/>
      <c r="L11" s="21" t="s">
        <v>162</v>
      </c>
      <c r="M11" s="21" t="s">
        <v>146</v>
      </c>
    </row>
    <row r="12">
      <c r="A12" s="21" t="s">
        <v>157</v>
      </c>
      <c r="B12" s="21" t="s">
        <v>163</v>
      </c>
      <c r="C12" s="34"/>
      <c r="D12" s="34" t="s">
        <v>33</v>
      </c>
      <c r="E12" s="34" t="s">
        <v>39</v>
      </c>
      <c r="F12" s="34">
        <v>28400.0</v>
      </c>
      <c r="G12" s="38"/>
      <c r="K12" s="38"/>
      <c r="L12" s="21" t="s">
        <v>162</v>
      </c>
      <c r="M12" s="21" t="s">
        <v>154</v>
      </c>
    </row>
    <row r="13">
      <c r="A13" s="21" t="s">
        <v>164</v>
      </c>
      <c r="B13" s="21" t="s">
        <v>165</v>
      </c>
      <c r="C13" s="34"/>
      <c r="D13" s="34" t="s">
        <v>23</v>
      </c>
      <c r="E13" s="34" t="s">
        <v>48</v>
      </c>
      <c r="F13" s="34">
        <v>32800.0</v>
      </c>
      <c r="G13" s="38"/>
      <c r="K13" s="38"/>
      <c r="L13" s="21" t="s">
        <v>162</v>
      </c>
      <c r="M13" s="21" t="s">
        <v>159</v>
      </c>
    </row>
    <row r="14">
      <c r="A14" s="21" t="s">
        <v>166</v>
      </c>
      <c r="B14" s="21" t="s">
        <v>167</v>
      </c>
      <c r="C14" s="34"/>
      <c r="D14" s="34" t="s">
        <v>23</v>
      </c>
      <c r="E14" s="34" t="s">
        <v>48</v>
      </c>
      <c r="F14" s="34">
        <v>25900.0</v>
      </c>
      <c r="G14" s="38"/>
      <c r="K14" s="38"/>
      <c r="L14" s="21" t="s">
        <v>168</v>
      </c>
      <c r="M14" s="21" t="s">
        <v>154</v>
      </c>
    </row>
    <row r="15">
      <c r="G15" s="38"/>
      <c r="K15" s="38"/>
      <c r="L15" s="21" t="s">
        <v>169</v>
      </c>
      <c r="M15" s="21" t="s">
        <v>159</v>
      </c>
    </row>
    <row r="16">
      <c r="G16" s="38"/>
      <c r="K16" s="38"/>
    </row>
    <row r="17">
      <c r="G17" s="38"/>
      <c r="K17" s="38"/>
    </row>
    <row r="18">
      <c r="G18" s="38"/>
      <c r="K18" s="38"/>
    </row>
    <row r="19">
      <c r="G19" s="38"/>
      <c r="K19" s="38"/>
    </row>
    <row r="20">
      <c r="G20" s="38"/>
      <c r="K20" s="38"/>
    </row>
    <row r="21">
      <c r="G21" s="38"/>
      <c r="K21" s="38"/>
    </row>
    <row r="22">
      <c r="G22" s="38"/>
      <c r="K22" s="38"/>
    </row>
    <row r="23">
      <c r="G23" s="38"/>
      <c r="K23" s="38"/>
    </row>
    <row r="24">
      <c r="G24" s="38"/>
      <c r="K24" s="38"/>
    </row>
    <row r="25">
      <c r="G25" s="38"/>
      <c r="K25" s="38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6.38"/>
    <col customWidth="1" min="3" max="3" width="1.25"/>
    <col customWidth="1" min="4" max="4" width="3.75"/>
    <col customWidth="1" min="5" max="5" width="30.5"/>
    <col customWidth="1" min="6" max="6" width="2.63"/>
    <col customWidth="1" min="7" max="7" width="1.25"/>
    <col customWidth="1" min="8" max="8" width="2.25"/>
    <col customWidth="1" min="9" max="9" width="22.38"/>
  </cols>
  <sheetData>
    <row r="1">
      <c r="A1" s="19" t="s">
        <v>170</v>
      </c>
      <c r="B1" s="20"/>
      <c r="C1" s="38"/>
      <c r="G1" s="38"/>
    </row>
    <row r="2">
      <c r="C2" s="38"/>
      <c r="G2" s="38"/>
    </row>
    <row r="3">
      <c r="C3" s="38"/>
      <c r="G3" s="38"/>
    </row>
    <row r="4">
      <c r="A4" s="22" t="s">
        <v>171</v>
      </c>
      <c r="C4" s="38"/>
      <c r="E4" s="22" t="s">
        <v>17</v>
      </c>
      <c r="G4" s="38"/>
      <c r="I4" s="22" t="s">
        <v>171</v>
      </c>
    </row>
    <row r="5">
      <c r="A5" s="40" t="s">
        <v>172</v>
      </c>
      <c r="C5" s="38"/>
      <c r="E5" s="21" t="s">
        <v>22</v>
      </c>
      <c r="G5" s="38"/>
      <c r="I5" s="40" t="s">
        <v>141</v>
      </c>
    </row>
    <row r="6">
      <c r="A6" s="40" t="s">
        <v>173</v>
      </c>
      <c r="C6" s="38"/>
      <c r="E6" s="21" t="s">
        <v>28</v>
      </c>
      <c r="G6" s="38"/>
      <c r="I6" s="40" t="s">
        <v>168</v>
      </c>
    </row>
    <row r="7">
      <c r="A7" s="40" t="s">
        <v>174</v>
      </c>
      <c r="C7" s="38"/>
      <c r="E7" s="21" t="s">
        <v>32</v>
      </c>
      <c r="G7" s="38"/>
      <c r="I7" s="41" t="s">
        <v>133</v>
      </c>
    </row>
    <row r="8">
      <c r="A8" s="40" t="s">
        <v>175</v>
      </c>
      <c r="C8" s="38"/>
      <c r="E8" s="21" t="s">
        <v>35</v>
      </c>
      <c r="G8" s="38"/>
      <c r="I8" s="40" t="s">
        <v>145</v>
      </c>
    </row>
    <row r="9">
      <c r="A9" s="40" t="s">
        <v>176</v>
      </c>
      <c r="C9" s="38"/>
      <c r="E9" s="21" t="s">
        <v>25</v>
      </c>
      <c r="G9" s="38"/>
      <c r="I9" s="40" t="s">
        <v>149</v>
      </c>
    </row>
    <row r="10">
      <c r="A10" s="40" t="s">
        <v>177</v>
      </c>
      <c r="C10" s="38"/>
      <c r="E10" s="21" t="s">
        <v>38</v>
      </c>
      <c r="G10" s="38"/>
      <c r="I10" s="40" t="s">
        <v>145</v>
      </c>
    </row>
    <row r="11">
      <c r="A11" s="40" t="s">
        <v>178</v>
      </c>
      <c r="C11" s="38"/>
      <c r="E11" s="21" t="s">
        <v>41</v>
      </c>
      <c r="G11" s="38"/>
      <c r="I11" s="40" t="s">
        <v>179</v>
      </c>
    </row>
    <row r="12">
      <c r="A12" s="40" t="s">
        <v>180</v>
      </c>
      <c r="C12" s="38"/>
      <c r="E12" s="21" t="s">
        <v>44</v>
      </c>
      <c r="G12" s="38"/>
      <c r="I12" s="40" t="s">
        <v>141</v>
      </c>
    </row>
    <row r="13">
      <c r="A13" s="40" t="s">
        <v>181</v>
      </c>
      <c r="C13" s="38"/>
      <c r="E13" s="21" t="s">
        <v>47</v>
      </c>
      <c r="G13" s="38"/>
      <c r="I13" s="40" t="s">
        <v>162</v>
      </c>
    </row>
    <row r="14">
      <c r="A14" s="41" t="str">
        <f>A5</f>
        <v>Men-type-T-simple-Black</v>
      </c>
      <c r="C14" s="38"/>
      <c r="E14" s="21" t="s">
        <v>51</v>
      </c>
      <c r="G14" s="38"/>
      <c r="I14" s="40" t="s">
        <v>141</v>
      </c>
    </row>
    <row r="15">
      <c r="A15" s="40" t="s">
        <v>182</v>
      </c>
      <c r="C15" s="38"/>
      <c r="G15" s="38"/>
      <c r="I15" s="40" t="s">
        <v>162</v>
      </c>
    </row>
    <row r="16">
      <c r="A16" s="40" t="s">
        <v>183</v>
      </c>
      <c r="C16" s="38"/>
      <c r="G16" s="38"/>
      <c r="I16" s="40" t="s">
        <v>184</v>
      </c>
    </row>
    <row r="17">
      <c r="A17" s="40" t="s">
        <v>185</v>
      </c>
      <c r="C17" s="38"/>
      <c r="G17" s="38"/>
      <c r="I17" s="40" t="s">
        <v>168</v>
      </c>
    </row>
    <row r="18">
      <c r="C18" s="38"/>
      <c r="G18" s="38"/>
    </row>
    <row r="19">
      <c r="C19" s="38"/>
      <c r="G19" s="38"/>
    </row>
    <row r="20">
      <c r="C20" s="38"/>
      <c r="G20" s="38"/>
    </row>
    <row r="21">
      <c r="C21" s="38"/>
      <c r="G21" s="38"/>
    </row>
    <row r="22">
      <c r="C22" s="38"/>
      <c r="G22" s="38"/>
    </row>
    <row r="23">
      <c r="C23" s="38"/>
      <c r="G23" s="38"/>
    </row>
    <row r="24">
      <c r="C24" s="38"/>
      <c r="G24" s="38"/>
    </row>
    <row r="25">
      <c r="C25" s="38"/>
      <c r="G25" s="38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A846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7.25"/>
    <col customWidth="1" min="3" max="3" width="14.88"/>
    <col customWidth="1" min="5" max="5" width="21.88"/>
    <col customWidth="1" min="6" max="6" width="10.88"/>
    <col customWidth="1" min="9" max="9" width="17.5"/>
    <col customWidth="1" min="10" max="10" width="21.0"/>
  </cols>
  <sheetData>
    <row r="1" ht="15.75" customHeight="1">
      <c r="A1" s="19" t="s">
        <v>186</v>
      </c>
      <c r="B1" s="20"/>
      <c r="C1" s="20"/>
      <c r="D1" s="20"/>
      <c r="E1" s="20"/>
      <c r="F1" s="20"/>
      <c r="G1" s="42" t="str">
        <f>IFERROR(__xludf.DUMMYFUNCTION("SPARKLINE((G3+G4)/2,{""charttype"",""bar"";""max"",1;""color1"",""#02a846""})"),"")</f>
        <v/>
      </c>
      <c r="H1" s="43" t="s">
        <v>187</v>
      </c>
    </row>
    <row r="2">
      <c r="A2" s="21" t="s">
        <v>188</v>
      </c>
    </row>
    <row r="3">
      <c r="A3" s="21">
        <v>1.0</v>
      </c>
      <c r="B3" s="21" t="s">
        <v>189</v>
      </c>
      <c r="G3" s="44" t="b">
        <v>1</v>
      </c>
    </row>
    <row r="4">
      <c r="A4" s="21">
        <v>2.0</v>
      </c>
      <c r="B4" s="21" t="s">
        <v>190</v>
      </c>
      <c r="G4" s="44" t="b">
        <v>1</v>
      </c>
    </row>
    <row r="5">
      <c r="I5" s="21" t="s">
        <v>191</v>
      </c>
    </row>
    <row r="6">
      <c r="A6" s="22" t="s">
        <v>103</v>
      </c>
      <c r="B6" s="22" t="s">
        <v>104</v>
      </c>
      <c r="C6" s="22" t="s">
        <v>105</v>
      </c>
      <c r="D6" s="22" t="s">
        <v>106</v>
      </c>
      <c r="E6" s="22" t="s">
        <v>107</v>
      </c>
      <c r="F6" s="22" t="s">
        <v>108</v>
      </c>
      <c r="G6" s="22" t="s">
        <v>109</v>
      </c>
      <c r="I6" s="45" t="s">
        <v>106</v>
      </c>
      <c r="J6" s="45" t="s">
        <v>192</v>
      </c>
    </row>
    <row r="7">
      <c r="A7" s="34" t="s">
        <v>111</v>
      </c>
      <c r="B7" s="35">
        <v>71162.0</v>
      </c>
      <c r="C7" s="36">
        <v>43831.0</v>
      </c>
      <c r="D7" s="21" t="s">
        <v>112</v>
      </c>
      <c r="E7" s="34" t="s">
        <v>113</v>
      </c>
      <c r="F7" s="35">
        <v>410.0</v>
      </c>
      <c r="G7" s="21">
        <v>4920.47</v>
      </c>
      <c r="I7" s="46" t="s">
        <v>112</v>
      </c>
      <c r="J7" s="37" t="s">
        <v>168</v>
      </c>
    </row>
    <row r="8">
      <c r="A8" s="34" t="s">
        <v>111</v>
      </c>
      <c r="B8" s="35">
        <v>71107.0</v>
      </c>
      <c r="C8" s="36">
        <v>43831.0</v>
      </c>
      <c r="D8" s="21" t="s">
        <v>112</v>
      </c>
      <c r="E8" s="34" t="s">
        <v>193</v>
      </c>
      <c r="F8" s="35">
        <v>341.0</v>
      </c>
      <c r="G8" s="21">
        <v>4433.28</v>
      </c>
      <c r="I8" s="46" t="s">
        <v>112</v>
      </c>
      <c r="J8" s="46" t="s">
        <v>162</v>
      </c>
    </row>
    <row r="9">
      <c r="A9" s="34" t="s">
        <v>111</v>
      </c>
      <c r="B9" s="35">
        <v>71118.0</v>
      </c>
      <c r="C9" s="36">
        <v>43831.0</v>
      </c>
      <c r="D9" s="34" t="s">
        <v>112</v>
      </c>
      <c r="E9" s="34" t="s">
        <v>114</v>
      </c>
      <c r="F9" s="35">
        <v>227.0</v>
      </c>
      <c r="G9" s="34">
        <v>2951.33</v>
      </c>
      <c r="I9" s="46" t="s">
        <v>112</v>
      </c>
      <c r="J9" s="46" t="s">
        <v>145</v>
      </c>
    </row>
    <row r="10">
      <c r="A10" s="34" t="s">
        <v>111</v>
      </c>
      <c r="B10" s="35">
        <v>71122.0</v>
      </c>
      <c r="C10" s="36">
        <v>43831.0</v>
      </c>
      <c r="D10" s="34" t="s">
        <v>112</v>
      </c>
      <c r="E10" s="34" t="s">
        <v>194</v>
      </c>
      <c r="F10" s="35">
        <v>287.0</v>
      </c>
      <c r="G10" s="34">
        <v>5166.4</v>
      </c>
      <c r="I10" s="46" t="s">
        <v>112</v>
      </c>
      <c r="J10" s="46" t="s">
        <v>141</v>
      </c>
    </row>
    <row r="11">
      <c r="A11" s="34" t="s">
        <v>111</v>
      </c>
      <c r="B11" s="35">
        <v>71160.0</v>
      </c>
      <c r="C11" s="36">
        <v>43831.0</v>
      </c>
      <c r="D11" s="34" t="s">
        <v>116</v>
      </c>
      <c r="E11" s="34" t="s">
        <v>117</v>
      </c>
      <c r="F11" s="35">
        <v>332.0</v>
      </c>
      <c r="G11" s="34">
        <v>20584.4</v>
      </c>
      <c r="I11" s="37" t="s">
        <v>112</v>
      </c>
      <c r="J11" s="37" t="s">
        <v>131</v>
      </c>
    </row>
    <row r="12">
      <c r="A12" s="34" t="s">
        <v>111</v>
      </c>
      <c r="B12" s="35">
        <v>71141.0</v>
      </c>
      <c r="C12" s="36">
        <v>43831.0</v>
      </c>
      <c r="D12" s="34" t="s">
        <v>116</v>
      </c>
      <c r="E12" s="34" t="s">
        <v>195</v>
      </c>
      <c r="F12" s="35">
        <v>209.0</v>
      </c>
      <c r="G12" s="34">
        <v>12958.4</v>
      </c>
      <c r="I12" s="37" t="s">
        <v>112</v>
      </c>
      <c r="J12" s="37" t="s">
        <v>133</v>
      </c>
    </row>
    <row r="13">
      <c r="A13" s="34" t="s">
        <v>111</v>
      </c>
      <c r="B13" s="35">
        <v>71112.0</v>
      </c>
      <c r="C13" s="36">
        <v>43831.0</v>
      </c>
      <c r="D13" s="34" t="s">
        <v>116</v>
      </c>
      <c r="E13" s="34" t="s">
        <v>118</v>
      </c>
      <c r="F13" s="35">
        <v>213.0</v>
      </c>
      <c r="G13" s="34">
        <v>3834.4</v>
      </c>
      <c r="I13" s="37" t="s">
        <v>112</v>
      </c>
      <c r="J13" s="37" t="s">
        <v>196</v>
      </c>
    </row>
    <row r="14">
      <c r="A14" s="34" t="s">
        <v>111</v>
      </c>
      <c r="B14" s="35">
        <v>71133.0</v>
      </c>
      <c r="C14" s="36">
        <v>43831.0</v>
      </c>
      <c r="D14" s="34" t="s">
        <v>112</v>
      </c>
      <c r="E14" s="34" t="s">
        <v>119</v>
      </c>
      <c r="F14" s="35">
        <v>312.0</v>
      </c>
      <c r="G14" s="34">
        <v>3120.4</v>
      </c>
      <c r="I14" s="37" t="s">
        <v>112</v>
      </c>
      <c r="J14" s="37" t="s">
        <v>179</v>
      </c>
    </row>
    <row r="15">
      <c r="A15" s="34" t="s">
        <v>111</v>
      </c>
      <c r="B15" s="35">
        <v>71112.0</v>
      </c>
      <c r="C15" s="36">
        <v>43831.0</v>
      </c>
      <c r="D15" s="34" t="s">
        <v>112</v>
      </c>
      <c r="E15" s="34" t="s">
        <v>120</v>
      </c>
      <c r="F15" s="35">
        <v>388.0</v>
      </c>
      <c r="G15" s="34">
        <v>4656.34</v>
      </c>
      <c r="I15" s="37" t="s">
        <v>112</v>
      </c>
      <c r="J15" s="37" t="s">
        <v>149</v>
      </c>
    </row>
    <row r="16">
      <c r="A16" s="34" t="s">
        <v>111</v>
      </c>
      <c r="B16" s="35">
        <v>71195.0</v>
      </c>
      <c r="C16" s="36">
        <v>43841.0</v>
      </c>
      <c r="D16" s="34" t="s">
        <v>112</v>
      </c>
      <c r="E16" s="34" t="s">
        <v>121</v>
      </c>
      <c r="F16" s="35">
        <v>199.0</v>
      </c>
      <c r="G16" s="34">
        <v>4975.4</v>
      </c>
      <c r="I16" s="37" t="s">
        <v>112</v>
      </c>
      <c r="J16" s="37" t="s">
        <v>184</v>
      </c>
    </row>
    <row r="17">
      <c r="A17" s="34" t="s">
        <v>111</v>
      </c>
      <c r="B17" s="35">
        <v>71123.0</v>
      </c>
      <c r="C17" s="36">
        <v>43841.0</v>
      </c>
      <c r="D17" s="21" t="s">
        <v>112</v>
      </c>
      <c r="E17" s="34" t="s">
        <v>114</v>
      </c>
      <c r="F17" s="35">
        <v>384.0</v>
      </c>
      <c r="G17" s="21">
        <v>4992.25</v>
      </c>
      <c r="I17" s="37" t="s">
        <v>112</v>
      </c>
      <c r="J17" s="37" t="s">
        <v>169</v>
      </c>
    </row>
    <row r="18">
      <c r="A18" s="34" t="s">
        <v>111</v>
      </c>
      <c r="B18" s="35">
        <v>71110.0</v>
      </c>
      <c r="C18" s="36">
        <v>43841.0</v>
      </c>
      <c r="D18" s="21" t="s">
        <v>116</v>
      </c>
      <c r="E18" s="34" t="s">
        <v>197</v>
      </c>
      <c r="F18" s="35">
        <v>351.0</v>
      </c>
      <c r="G18" s="21">
        <v>8775.13</v>
      </c>
      <c r="I18" s="37" t="s">
        <v>116</v>
      </c>
      <c r="J18" s="37" t="s">
        <v>168</v>
      </c>
    </row>
    <row r="19">
      <c r="A19" s="34" t="s">
        <v>111</v>
      </c>
      <c r="B19" s="35">
        <v>71126.0</v>
      </c>
      <c r="C19" s="36">
        <v>43841.0</v>
      </c>
      <c r="D19" s="21" t="s">
        <v>116</v>
      </c>
      <c r="E19" s="34" t="s">
        <v>198</v>
      </c>
      <c r="F19" s="35">
        <v>323.0</v>
      </c>
      <c r="G19" s="21">
        <v>8075.4</v>
      </c>
      <c r="I19" s="37" t="s">
        <v>116</v>
      </c>
      <c r="J19" s="37" t="s">
        <v>162</v>
      </c>
    </row>
    <row r="20">
      <c r="A20" s="34" t="s">
        <v>111</v>
      </c>
      <c r="B20" s="35">
        <v>71166.0</v>
      </c>
      <c r="C20" s="36">
        <v>43841.0</v>
      </c>
      <c r="D20" s="21" t="s">
        <v>116</v>
      </c>
      <c r="E20" s="34" t="s">
        <v>124</v>
      </c>
      <c r="F20" s="35">
        <v>363.0</v>
      </c>
      <c r="G20" s="21">
        <v>22506.16</v>
      </c>
      <c r="I20" s="37" t="s">
        <v>116</v>
      </c>
      <c r="J20" s="37" t="s">
        <v>145</v>
      </c>
    </row>
    <row r="21">
      <c r="A21" s="34" t="s">
        <v>111</v>
      </c>
      <c r="B21" s="35">
        <v>71137.0</v>
      </c>
      <c r="C21" s="36">
        <v>43841.0</v>
      </c>
      <c r="D21" s="21" t="s">
        <v>112</v>
      </c>
      <c r="E21" s="34" t="s">
        <v>125</v>
      </c>
      <c r="F21" s="35">
        <v>370.0</v>
      </c>
      <c r="G21" s="21">
        <v>22200.4</v>
      </c>
      <c r="I21" s="37" t="s">
        <v>116</v>
      </c>
      <c r="J21" s="37" t="s">
        <v>141</v>
      </c>
    </row>
    <row r="22">
      <c r="A22" s="34" t="s">
        <v>111</v>
      </c>
      <c r="B22" s="35">
        <v>71176.0</v>
      </c>
      <c r="C22" s="36">
        <v>43841.0</v>
      </c>
      <c r="D22" s="21" t="s">
        <v>112</v>
      </c>
      <c r="E22" s="34" t="s">
        <v>118</v>
      </c>
      <c r="F22" s="35">
        <v>392.0</v>
      </c>
      <c r="G22" s="21">
        <v>7056.4</v>
      </c>
      <c r="I22" s="37" t="s">
        <v>116</v>
      </c>
      <c r="J22" s="37" t="s">
        <v>131</v>
      </c>
    </row>
    <row r="23">
      <c r="A23" s="34" t="s">
        <v>111</v>
      </c>
      <c r="B23" s="35">
        <v>71173.0</v>
      </c>
      <c r="C23" s="36">
        <v>43841.0</v>
      </c>
      <c r="D23" s="21" t="s">
        <v>116</v>
      </c>
      <c r="E23" s="21" t="s">
        <v>125</v>
      </c>
      <c r="F23" s="35">
        <v>236.0</v>
      </c>
      <c r="G23" s="21">
        <v>14160.05</v>
      </c>
      <c r="I23" s="37" t="s">
        <v>116</v>
      </c>
      <c r="J23" s="37" t="s">
        <v>133</v>
      </c>
    </row>
    <row r="24">
      <c r="A24" s="34" t="s">
        <v>111</v>
      </c>
      <c r="B24" s="35">
        <v>71194.0</v>
      </c>
      <c r="C24" s="36">
        <v>43841.0</v>
      </c>
      <c r="D24" s="21" t="s">
        <v>116</v>
      </c>
      <c r="E24" s="21" t="s">
        <v>199</v>
      </c>
      <c r="F24" s="35">
        <v>200.0</v>
      </c>
      <c r="G24" s="21">
        <v>2400.4</v>
      </c>
      <c r="I24" s="37" t="s">
        <v>116</v>
      </c>
      <c r="J24" s="37" t="s">
        <v>196</v>
      </c>
    </row>
    <row r="25">
      <c r="A25" s="34" t="s">
        <v>111</v>
      </c>
      <c r="B25" s="35">
        <v>71166.0</v>
      </c>
      <c r="C25" s="36">
        <v>43841.0</v>
      </c>
      <c r="D25" s="21" t="s">
        <v>112</v>
      </c>
      <c r="E25" s="21" t="s">
        <v>127</v>
      </c>
      <c r="F25" s="35">
        <v>373.0</v>
      </c>
      <c r="G25" s="21">
        <v>4849.44</v>
      </c>
      <c r="I25" s="37" t="s">
        <v>116</v>
      </c>
      <c r="J25" s="37" t="s">
        <v>179</v>
      </c>
    </row>
    <row r="26">
      <c r="A26" s="34" t="s">
        <v>111</v>
      </c>
      <c r="B26" s="35">
        <v>71147.0</v>
      </c>
      <c r="C26" s="36">
        <v>43841.0</v>
      </c>
      <c r="D26" s="21" t="s">
        <v>112</v>
      </c>
      <c r="E26" s="21" t="s">
        <v>115</v>
      </c>
      <c r="F26" s="35">
        <v>314.0</v>
      </c>
      <c r="G26" s="21">
        <v>5652.4</v>
      </c>
      <c r="I26" s="37" t="s">
        <v>116</v>
      </c>
      <c r="J26" s="37" t="s">
        <v>149</v>
      </c>
    </row>
    <row r="27">
      <c r="A27" s="34" t="s">
        <v>111</v>
      </c>
      <c r="B27" s="35">
        <v>71130.0</v>
      </c>
      <c r="C27" s="36">
        <v>43841.0</v>
      </c>
      <c r="D27" s="21" t="s">
        <v>112</v>
      </c>
      <c r="E27" s="21" t="s">
        <v>200</v>
      </c>
      <c r="F27" s="35">
        <v>183.0</v>
      </c>
      <c r="G27" s="21">
        <v>11346.09</v>
      </c>
      <c r="I27" s="37" t="s">
        <v>116</v>
      </c>
      <c r="J27" s="37" t="s">
        <v>184</v>
      </c>
    </row>
    <row r="28">
      <c r="A28" s="34" t="s">
        <v>111</v>
      </c>
      <c r="B28" s="35">
        <v>71112.0</v>
      </c>
      <c r="C28" s="36">
        <v>43841.0</v>
      </c>
      <c r="D28" s="21" t="s">
        <v>116</v>
      </c>
      <c r="E28" s="21" t="s">
        <v>115</v>
      </c>
      <c r="F28" s="35">
        <v>330.0</v>
      </c>
      <c r="G28" s="21">
        <v>5940.09</v>
      </c>
      <c r="I28" s="37" t="s">
        <v>116</v>
      </c>
      <c r="J28" s="37" t="s">
        <v>169</v>
      </c>
    </row>
    <row r="29">
      <c r="A29" s="34" t="s">
        <v>111</v>
      </c>
      <c r="B29" s="35">
        <v>71185.0</v>
      </c>
      <c r="C29" s="36">
        <v>43841.0</v>
      </c>
      <c r="D29" s="21" t="s">
        <v>116</v>
      </c>
      <c r="E29" s="21" t="s">
        <v>128</v>
      </c>
      <c r="F29" s="35">
        <v>267.0</v>
      </c>
      <c r="G29" s="21">
        <v>1602.41</v>
      </c>
    </row>
    <row r="30">
      <c r="A30" s="34" t="s">
        <v>111</v>
      </c>
      <c r="B30" s="35">
        <v>71189.0</v>
      </c>
      <c r="C30" s="36">
        <v>43841.0</v>
      </c>
      <c r="D30" s="21" t="s">
        <v>112</v>
      </c>
      <c r="E30" s="21" t="s">
        <v>129</v>
      </c>
      <c r="F30" s="35">
        <v>435.0</v>
      </c>
      <c r="G30" s="21">
        <v>26100.4</v>
      </c>
    </row>
    <row r="31">
      <c r="A31" s="34" t="s">
        <v>111</v>
      </c>
      <c r="B31" s="35">
        <v>71178.0</v>
      </c>
      <c r="C31" s="36">
        <v>43841.0</v>
      </c>
      <c r="D31" s="21" t="s">
        <v>112</v>
      </c>
      <c r="E31" s="21" t="s">
        <v>113</v>
      </c>
      <c r="F31" s="35">
        <v>426.0</v>
      </c>
      <c r="G31" s="21">
        <v>5112.4</v>
      </c>
    </row>
    <row r="32">
      <c r="A32" s="34" t="s">
        <v>111</v>
      </c>
      <c r="B32" s="35">
        <v>71149.0</v>
      </c>
      <c r="C32" s="36">
        <v>43841.0</v>
      </c>
      <c r="D32" s="21" t="s">
        <v>116</v>
      </c>
      <c r="E32" s="21" t="s">
        <v>123</v>
      </c>
      <c r="F32" s="35">
        <v>288.0</v>
      </c>
      <c r="G32" s="21">
        <v>7200.4</v>
      </c>
    </row>
    <row r="33">
      <c r="A33" s="34" t="s">
        <v>111</v>
      </c>
      <c r="B33" s="35">
        <v>71181.0</v>
      </c>
      <c r="C33" s="36">
        <v>43841.0</v>
      </c>
      <c r="D33" s="21" t="s">
        <v>116</v>
      </c>
      <c r="E33" s="21" t="s">
        <v>130</v>
      </c>
      <c r="F33" s="35">
        <v>346.0</v>
      </c>
      <c r="G33" s="21">
        <v>4152.0</v>
      </c>
    </row>
    <row r="34">
      <c r="A34" s="34" t="s">
        <v>111</v>
      </c>
      <c r="B34" s="35">
        <v>71181.0</v>
      </c>
      <c r="C34" s="36">
        <v>43841.0</v>
      </c>
      <c r="D34" s="21" t="s">
        <v>116</v>
      </c>
      <c r="E34" s="21" t="s">
        <v>123</v>
      </c>
      <c r="F34" s="35">
        <v>253.0</v>
      </c>
      <c r="G34" s="21">
        <v>6325.06</v>
      </c>
    </row>
    <row r="35">
      <c r="A35" s="34" t="s">
        <v>111</v>
      </c>
      <c r="B35" s="35">
        <v>71190.0</v>
      </c>
      <c r="C35" s="36">
        <v>43841.0</v>
      </c>
      <c r="D35" s="21" t="s">
        <v>112</v>
      </c>
      <c r="E35" s="21" t="s">
        <v>119</v>
      </c>
      <c r="F35" s="35">
        <v>196.0</v>
      </c>
      <c r="G35" s="21">
        <v>1960.4</v>
      </c>
    </row>
    <row r="36">
      <c r="A36" s="34" t="s">
        <v>111</v>
      </c>
      <c r="B36" s="35">
        <v>71117.0</v>
      </c>
      <c r="C36" s="36">
        <v>43841.0</v>
      </c>
      <c r="D36" s="21" t="s">
        <v>112</v>
      </c>
      <c r="E36" s="21" t="s">
        <v>121</v>
      </c>
      <c r="F36" s="35">
        <v>242.0</v>
      </c>
      <c r="G36" s="21">
        <v>6050.49</v>
      </c>
    </row>
    <row r="37">
      <c r="A37" s="34" t="s">
        <v>111</v>
      </c>
      <c r="B37" s="35">
        <v>71176.0</v>
      </c>
      <c r="C37" s="36">
        <v>43841.0</v>
      </c>
      <c r="D37" s="21" t="s">
        <v>116</v>
      </c>
      <c r="E37" s="21" t="s">
        <v>131</v>
      </c>
      <c r="F37" s="35">
        <v>256.0</v>
      </c>
      <c r="G37" s="21">
        <v>6400.17</v>
      </c>
    </row>
    <row r="38">
      <c r="A38" s="34" t="s">
        <v>111</v>
      </c>
      <c r="B38" s="35">
        <v>71123.0</v>
      </c>
      <c r="C38" s="36">
        <v>43841.0</v>
      </c>
      <c r="D38" s="21" t="s">
        <v>116</v>
      </c>
      <c r="E38" s="21" t="s">
        <v>130</v>
      </c>
      <c r="F38" s="35">
        <v>335.0</v>
      </c>
      <c r="G38" s="21">
        <v>4020.4</v>
      </c>
    </row>
    <row r="39">
      <c r="A39" s="34" t="s">
        <v>111</v>
      </c>
      <c r="B39" s="35">
        <v>71153.0</v>
      </c>
      <c r="C39" s="36">
        <v>43841.0</v>
      </c>
      <c r="D39" s="21" t="s">
        <v>116</v>
      </c>
      <c r="E39" s="21" t="s">
        <v>113</v>
      </c>
      <c r="F39" s="35">
        <v>337.0</v>
      </c>
      <c r="G39" s="21">
        <v>4044.4</v>
      </c>
    </row>
    <row r="40">
      <c r="A40" s="34" t="s">
        <v>111</v>
      </c>
      <c r="B40" s="35">
        <v>71123.0</v>
      </c>
      <c r="C40" s="36">
        <v>43841.0</v>
      </c>
      <c r="D40" s="21" t="s">
        <v>112</v>
      </c>
      <c r="E40" s="21" t="s">
        <v>119</v>
      </c>
      <c r="F40" s="35">
        <v>435.0</v>
      </c>
      <c r="G40" s="21">
        <v>4350.21</v>
      </c>
    </row>
    <row r="41">
      <c r="A41" s="34" t="s">
        <v>111</v>
      </c>
      <c r="B41" s="35">
        <v>71102.0</v>
      </c>
      <c r="C41" s="36">
        <v>43841.0</v>
      </c>
      <c r="D41" s="21" t="s">
        <v>112</v>
      </c>
      <c r="E41" s="21" t="s">
        <v>132</v>
      </c>
      <c r="F41" s="35">
        <v>243.0</v>
      </c>
      <c r="G41" s="21">
        <v>1458.4</v>
      </c>
    </row>
    <row r="42">
      <c r="A42" s="34" t="s">
        <v>111</v>
      </c>
      <c r="B42" s="35">
        <v>71191.0</v>
      </c>
      <c r="C42" s="36">
        <v>43851.0</v>
      </c>
      <c r="D42" s="21" t="s">
        <v>116</v>
      </c>
      <c r="E42" s="21" t="s">
        <v>133</v>
      </c>
      <c r="F42" s="35">
        <v>333.0</v>
      </c>
      <c r="G42" s="21">
        <v>6660.4</v>
      </c>
    </row>
    <row r="43">
      <c r="A43" s="34" t="s">
        <v>111</v>
      </c>
      <c r="B43" s="35">
        <v>71108.0</v>
      </c>
      <c r="C43" s="36">
        <v>43851.0</v>
      </c>
      <c r="D43" s="21" t="s">
        <v>116</v>
      </c>
      <c r="E43" s="21" t="s">
        <v>120</v>
      </c>
      <c r="F43" s="35">
        <v>265.0</v>
      </c>
      <c r="G43" s="21">
        <v>3180.11</v>
      </c>
    </row>
    <row r="44">
      <c r="A44" s="34" t="s">
        <v>111</v>
      </c>
      <c r="B44" s="35">
        <v>71185.0</v>
      </c>
      <c r="C44" s="36">
        <v>43851.0</v>
      </c>
      <c r="D44" s="21" t="s">
        <v>112</v>
      </c>
      <c r="E44" s="21" t="s">
        <v>114</v>
      </c>
      <c r="F44" s="35">
        <v>151.0</v>
      </c>
      <c r="G44" s="21">
        <v>1963.16</v>
      </c>
    </row>
    <row r="45">
      <c r="A45" s="34" t="s">
        <v>111</v>
      </c>
      <c r="B45" s="35">
        <v>71179.0</v>
      </c>
      <c r="C45" s="36">
        <v>43851.0</v>
      </c>
      <c r="D45" s="21" t="s">
        <v>112</v>
      </c>
      <c r="E45" s="21" t="s">
        <v>118</v>
      </c>
      <c r="F45" s="35">
        <v>407.0</v>
      </c>
      <c r="G45" s="21">
        <v>7326.13</v>
      </c>
    </row>
    <row r="46">
      <c r="A46" s="34" t="s">
        <v>111</v>
      </c>
      <c r="B46" s="35">
        <v>71115.0</v>
      </c>
      <c r="C46" s="36">
        <v>43851.0</v>
      </c>
      <c r="D46" s="21" t="s">
        <v>112</v>
      </c>
      <c r="E46" s="21" t="s">
        <v>128</v>
      </c>
      <c r="F46" s="35">
        <v>290.0</v>
      </c>
      <c r="G46" s="21">
        <v>1740.4</v>
      </c>
    </row>
    <row r="47">
      <c r="A47" s="34" t="s">
        <v>111</v>
      </c>
      <c r="B47" s="35">
        <v>71183.0</v>
      </c>
      <c r="C47" s="36">
        <v>43851.0</v>
      </c>
      <c r="D47" s="21" t="s">
        <v>116</v>
      </c>
      <c r="E47" s="21" t="s">
        <v>117</v>
      </c>
      <c r="F47" s="35">
        <v>366.0</v>
      </c>
      <c r="G47" s="21">
        <v>22692.3</v>
      </c>
    </row>
    <row r="48">
      <c r="A48" s="34" t="s">
        <v>111</v>
      </c>
      <c r="B48" s="35">
        <v>71188.0</v>
      </c>
      <c r="C48" s="36">
        <v>43851.0</v>
      </c>
      <c r="D48" s="21" t="s">
        <v>116</v>
      </c>
      <c r="E48" s="21" t="s">
        <v>121</v>
      </c>
      <c r="F48" s="35">
        <v>376.0</v>
      </c>
      <c r="G48" s="21">
        <v>9400.39</v>
      </c>
    </row>
    <row r="49">
      <c r="A49" s="34" t="s">
        <v>111</v>
      </c>
      <c r="B49" s="35">
        <v>71135.0</v>
      </c>
      <c r="C49" s="36">
        <v>43851.0</v>
      </c>
      <c r="D49" s="21" t="s">
        <v>112</v>
      </c>
      <c r="E49" s="21" t="s">
        <v>124</v>
      </c>
      <c r="F49" s="35">
        <v>340.0</v>
      </c>
      <c r="G49" s="21">
        <v>21080.4</v>
      </c>
    </row>
    <row r="50">
      <c r="A50" s="34" t="s">
        <v>111</v>
      </c>
      <c r="B50" s="35">
        <v>71178.0</v>
      </c>
      <c r="C50" s="36">
        <v>43851.0</v>
      </c>
      <c r="D50" s="21" t="s">
        <v>112</v>
      </c>
      <c r="E50" s="21" t="s">
        <v>121</v>
      </c>
      <c r="F50" s="35">
        <v>314.0</v>
      </c>
      <c r="G50" s="21">
        <v>7850.4</v>
      </c>
    </row>
    <row r="51">
      <c r="A51" s="34" t="s">
        <v>111</v>
      </c>
      <c r="B51" s="35">
        <v>71120.0</v>
      </c>
      <c r="C51" s="36">
        <v>43851.0</v>
      </c>
      <c r="D51" s="21" t="s">
        <v>112</v>
      </c>
      <c r="E51" s="21" t="s">
        <v>115</v>
      </c>
      <c r="F51" s="35">
        <v>151.0</v>
      </c>
      <c r="G51" s="21">
        <v>2718.4</v>
      </c>
    </row>
    <row r="52">
      <c r="A52" s="34" t="s">
        <v>111</v>
      </c>
      <c r="B52" s="35">
        <v>71110.0</v>
      </c>
      <c r="C52" s="36">
        <v>43859.0</v>
      </c>
      <c r="D52" s="21" t="s">
        <v>116</v>
      </c>
      <c r="E52" s="21" t="s">
        <v>113</v>
      </c>
      <c r="F52" s="35">
        <v>354.0</v>
      </c>
      <c r="G52" s="21">
        <v>4248.4</v>
      </c>
    </row>
    <row r="53">
      <c r="A53" s="34" t="s">
        <v>111</v>
      </c>
      <c r="B53" s="35">
        <v>70552.0</v>
      </c>
      <c r="C53" s="36">
        <v>43863.0</v>
      </c>
      <c r="D53" s="21" t="s">
        <v>112</v>
      </c>
      <c r="E53" s="21" t="s">
        <v>120</v>
      </c>
      <c r="F53" s="35">
        <v>255.0</v>
      </c>
      <c r="G53" s="21">
        <v>3060.4</v>
      </c>
    </row>
    <row r="54">
      <c r="A54" s="34" t="s">
        <v>111</v>
      </c>
      <c r="B54" s="35">
        <v>71069.0</v>
      </c>
      <c r="C54" s="36">
        <v>43863.0</v>
      </c>
      <c r="D54" s="21" t="s">
        <v>112</v>
      </c>
      <c r="E54" s="21" t="s">
        <v>122</v>
      </c>
      <c r="F54" s="35">
        <v>428.0</v>
      </c>
      <c r="G54" s="21">
        <v>10700.38</v>
      </c>
    </row>
    <row r="55">
      <c r="A55" s="34" t="s">
        <v>111</v>
      </c>
      <c r="B55" s="35">
        <v>70310.0</v>
      </c>
      <c r="C55" s="36">
        <v>43863.0</v>
      </c>
      <c r="D55" s="21" t="s">
        <v>112</v>
      </c>
      <c r="E55" s="21" t="s">
        <v>122</v>
      </c>
      <c r="F55" s="35">
        <v>168.0</v>
      </c>
      <c r="G55" s="21">
        <v>4200.17</v>
      </c>
    </row>
    <row r="56">
      <c r="A56" s="34" t="s">
        <v>111</v>
      </c>
      <c r="B56" s="35">
        <v>70233.0</v>
      </c>
      <c r="C56" s="36">
        <v>43863.0</v>
      </c>
      <c r="D56" s="21" t="s">
        <v>112</v>
      </c>
      <c r="E56" s="21" t="s">
        <v>119</v>
      </c>
      <c r="F56" s="35">
        <v>177.0</v>
      </c>
      <c r="G56" s="21">
        <v>1770.25</v>
      </c>
    </row>
    <row r="57">
      <c r="A57" s="34" t="s">
        <v>111</v>
      </c>
      <c r="B57" s="35">
        <v>70459.0</v>
      </c>
      <c r="C57" s="36">
        <v>43863.0</v>
      </c>
      <c r="D57" s="21" t="s">
        <v>116</v>
      </c>
      <c r="E57" s="21" t="s">
        <v>124</v>
      </c>
      <c r="F57" s="35">
        <v>317.0</v>
      </c>
      <c r="G57" s="21">
        <v>19654.36</v>
      </c>
    </row>
    <row r="58">
      <c r="A58" s="34" t="s">
        <v>111</v>
      </c>
      <c r="B58" s="35">
        <v>70133.0</v>
      </c>
      <c r="C58" s="36">
        <v>43863.0</v>
      </c>
      <c r="D58" s="21" t="s">
        <v>116</v>
      </c>
      <c r="E58" s="21" t="s">
        <v>122</v>
      </c>
      <c r="F58" s="35">
        <v>188.0</v>
      </c>
      <c r="G58" s="21">
        <v>4700.36</v>
      </c>
    </row>
    <row r="59">
      <c r="A59" s="34" t="s">
        <v>111</v>
      </c>
      <c r="B59" s="35">
        <v>70158.0</v>
      </c>
      <c r="C59" s="36">
        <v>43863.0</v>
      </c>
      <c r="D59" s="21" t="s">
        <v>116</v>
      </c>
      <c r="E59" s="21" t="s">
        <v>119</v>
      </c>
      <c r="F59" s="35">
        <v>384.0</v>
      </c>
      <c r="G59" s="21">
        <v>3840.22</v>
      </c>
    </row>
    <row r="60">
      <c r="A60" s="34" t="s">
        <v>111</v>
      </c>
      <c r="B60" s="35">
        <v>70450.0</v>
      </c>
      <c r="C60" s="36">
        <v>43863.0</v>
      </c>
      <c r="D60" s="21" t="s">
        <v>112</v>
      </c>
      <c r="E60" s="21" t="s">
        <v>125</v>
      </c>
      <c r="F60" s="35">
        <v>275.0</v>
      </c>
      <c r="G60" s="21">
        <v>16500.4</v>
      </c>
    </row>
    <row r="61">
      <c r="A61" s="34" t="s">
        <v>111</v>
      </c>
      <c r="B61" s="35">
        <v>70517.0</v>
      </c>
      <c r="C61" s="36">
        <v>43863.0</v>
      </c>
      <c r="D61" s="21" t="s">
        <v>112</v>
      </c>
      <c r="E61" s="21" t="s">
        <v>128</v>
      </c>
      <c r="F61" s="35">
        <v>383.0</v>
      </c>
      <c r="G61" s="21">
        <v>2298.01</v>
      </c>
    </row>
    <row r="62">
      <c r="A62" s="34" t="s">
        <v>111</v>
      </c>
      <c r="B62" s="35">
        <v>70710.0</v>
      </c>
      <c r="C62" s="36">
        <v>43872.0</v>
      </c>
      <c r="D62" s="21" t="s">
        <v>112</v>
      </c>
      <c r="E62" s="21" t="s">
        <v>119</v>
      </c>
      <c r="F62" s="35">
        <v>334.0</v>
      </c>
      <c r="G62" s="21">
        <v>3340.4</v>
      </c>
    </row>
    <row r="63">
      <c r="A63" s="34" t="s">
        <v>111</v>
      </c>
      <c r="B63" s="35">
        <v>70984.0</v>
      </c>
      <c r="C63" s="36">
        <v>43872.0</v>
      </c>
      <c r="D63" s="21" t="s">
        <v>112</v>
      </c>
      <c r="E63" s="21" t="s">
        <v>133</v>
      </c>
      <c r="F63" s="35">
        <v>357.0</v>
      </c>
      <c r="G63" s="21">
        <v>7140.4</v>
      </c>
    </row>
    <row r="64">
      <c r="A64" s="34" t="s">
        <v>111</v>
      </c>
      <c r="B64" s="35">
        <v>70599.0</v>
      </c>
      <c r="C64" s="36">
        <v>43872.0</v>
      </c>
      <c r="D64" s="21" t="s">
        <v>116</v>
      </c>
      <c r="E64" s="21" t="s">
        <v>120</v>
      </c>
      <c r="F64" s="35">
        <v>238.0</v>
      </c>
      <c r="G64" s="21">
        <v>2856.4</v>
      </c>
    </row>
    <row r="65">
      <c r="A65" s="34" t="s">
        <v>111</v>
      </c>
      <c r="B65" s="35">
        <v>70653.0</v>
      </c>
      <c r="C65" s="36">
        <v>43872.0</v>
      </c>
      <c r="D65" s="21" t="s">
        <v>116</v>
      </c>
      <c r="E65" s="21" t="s">
        <v>123</v>
      </c>
      <c r="F65" s="35">
        <v>382.0</v>
      </c>
      <c r="G65" s="21">
        <v>9550.4</v>
      </c>
    </row>
    <row r="66">
      <c r="A66" s="34" t="s">
        <v>111</v>
      </c>
      <c r="B66" s="35">
        <v>70049.0</v>
      </c>
      <c r="C66" s="36">
        <v>43872.0</v>
      </c>
      <c r="D66" s="21" t="s">
        <v>116</v>
      </c>
      <c r="E66" s="21" t="s">
        <v>133</v>
      </c>
      <c r="F66" s="35">
        <v>439.0</v>
      </c>
      <c r="G66" s="21">
        <v>8780.4</v>
      </c>
    </row>
    <row r="67">
      <c r="A67" s="34" t="s">
        <v>111</v>
      </c>
      <c r="B67" s="35">
        <v>70144.0</v>
      </c>
      <c r="C67" s="36">
        <v>43872.0</v>
      </c>
      <c r="D67" s="21" t="s">
        <v>112</v>
      </c>
      <c r="E67" s="21" t="s">
        <v>131</v>
      </c>
      <c r="F67" s="35">
        <v>251.0</v>
      </c>
      <c r="G67" s="21">
        <v>6275.4</v>
      </c>
    </row>
    <row r="68">
      <c r="A68" s="34" t="s">
        <v>111</v>
      </c>
      <c r="B68" s="35">
        <v>70043.0</v>
      </c>
      <c r="C68" s="36">
        <v>43872.0</v>
      </c>
      <c r="D68" s="21" t="s">
        <v>112</v>
      </c>
      <c r="E68" s="21" t="s">
        <v>119</v>
      </c>
      <c r="F68" s="35">
        <v>254.0</v>
      </c>
      <c r="G68" s="21">
        <v>2540.17</v>
      </c>
    </row>
    <row r="69">
      <c r="A69" s="34" t="s">
        <v>111</v>
      </c>
      <c r="B69" s="35">
        <v>70206.0</v>
      </c>
      <c r="C69" s="36">
        <v>43873.0</v>
      </c>
      <c r="D69" s="21" t="s">
        <v>116</v>
      </c>
      <c r="E69" s="21" t="s">
        <v>132</v>
      </c>
      <c r="F69" s="35">
        <v>390.0</v>
      </c>
      <c r="G69" s="21">
        <v>2340.4</v>
      </c>
    </row>
    <row r="70">
      <c r="A70" s="34" t="s">
        <v>111</v>
      </c>
      <c r="B70" s="35">
        <v>70754.0</v>
      </c>
      <c r="C70" s="36">
        <v>43873.0</v>
      </c>
      <c r="D70" s="21" t="s">
        <v>116</v>
      </c>
      <c r="E70" s="21" t="s">
        <v>120</v>
      </c>
      <c r="F70" s="35">
        <v>162.0</v>
      </c>
      <c r="G70" s="21">
        <v>1944.41</v>
      </c>
    </row>
    <row r="71">
      <c r="A71" s="34" t="s">
        <v>111</v>
      </c>
      <c r="B71" s="35">
        <v>70524.0</v>
      </c>
      <c r="C71" s="36">
        <v>43873.0</v>
      </c>
      <c r="D71" s="21" t="s">
        <v>112</v>
      </c>
      <c r="E71" s="21" t="s">
        <v>132</v>
      </c>
      <c r="F71" s="35">
        <v>392.0</v>
      </c>
      <c r="G71" s="21">
        <v>2352.4</v>
      </c>
    </row>
    <row r="72">
      <c r="A72" s="34" t="s">
        <v>111</v>
      </c>
      <c r="B72" s="35">
        <v>70442.0</v>
      </c>
      <c r="C72" s="36">
        <v>43873.0</v>
      </c>
      <c r="D72" s="21" t="s">
        <v>112</v>
      </c>
      <c r="E72" s="21" t="s">
        <v>114</v>
      </c>
      <c r="F72" s="35">
        <v>150.0</v>
      </c>
      <c r="G72" s="21">
        <v>1950.44</v>
      </c>
    </row>
    <row r="73">
      <c r="A73" s="34" t="s">
        <v>111</v>
      </c>
      <c r="B73" s="35">
        <v>71015.0</v>
      </c>
      <c r="C73" s="36">
        <v>43873.0</v>
      </c>
      <c r="D73" s="21" t="s">
        <v>112</v>
      </c>
      <c r="E73" s="21" t="s">
        <v>133</v>
      </c>
      <c r="F73" s="35">
        <v>197.0</v>
      </c>
      <c r="G73" s="21">
        <v>3940.19</v>
      </c>
    </row>
    <row r="74">
      <c r="A74" s="34" t="s">
        <v>111</v>
      </c>
      <c r="B74" s="35">
        <v>71099.0</v>
      </c>
      <c r="C74" s="36">
        <v>43873.0</v>
      </c>
      <c r="D74" s="21" t="s">
        <v>116</v>
      </c>
      <c r="E74" s="21" t="s">
        <v>118</v>
      </c>
      <c r="F74" s="35">
        <v>440.0</v>
      </c>
      <c r="G74" s="21">
        <v>7920.4</v>
      </c>
    </row>
    <row r="75">
      <c r="A75" s="34" t="s">
        <v>111</v>
      </c>
      <c r="B75" s="35">
        <v>70621.0</v>
      </c>
      <c r="C75" s="36">
        <v>43873.0</v>
      </c>
      <c r="D75" s="21" t="s">
        <v>116</v>
      </c>
      <c r="E75" s="21" t="s">
        <v>132</v>
      </c>
      <c r="F75" s="35">
        <v>196.0</v>
      </c>
      <c r="G75" s="21">
        <v>1176.4</v>
      </c>
    </row>
    <row r="76">
      <c r="A76" s="34" t="s">
        <v>111</v>
      </c>
      <c r="B76" s="35">
        <v>70083.0</v>
      </c>
      <c r="C76" s="36">
        <v>43873.0</v>
      </c>
      <c r="D76" s="21" t="s">
        <v>112</v>
      </c>
      <c r="E76" s="21" t="s">
        <v>114</v>
      </c>
      <c r="F76" s="35">
        <v>210.0</v>
      </c>
      <c r="G76" s="21">
        <v>2730.45</v>
      </c>
    </row>
    <row r="77">
      <c r="A77" s="34" t="s">
        <v>111</v>
      </c>
      <c r="B77" s="35">
        <v>70394.0</v>
      </c>
      <c r="C77" s="36">
        <v>43873.0</v>
      </c>
      <c r="D77" s="21" t="s">
        <v>112</v>
      </c>
      <c r="E77" s="21" t="s">
        <v>117</v>
      </c>
      <c r="F77" s="35">
        <v>293.0</v>
      </c>
      <c r="G77" s="21">
        <v>18166.4</v>
      </c>
    </row>
    <row r="78">
      <c r="A78" s="34" t="s">
        <v>111</v>
      </c>
      <c r="B78" s="35">
        <v>70007.0</v>
      </c>
      <c r="C78" s="36">
        <v>43873.0</v>
      </c>
      <c r="D78" s="21" t="s">
        <v>116</v>
      </c>
      <c r="E78" s="21" t="s">
        <v>124</v>
      </c>
      <c r="F78" s="35">
        <v>187.0</v>
      </c>
      <c r="G78" s="21">
        <v>11594.4</v>
      </c>
    </row>
    <row r="79">
      <c r="A79" s="34" t="s">
        <v>111</v>
      </c>
      <c r="B79" s="35">
        <v>70130.0</v>
      </c>
      <c r="C79" s="36">
        <v>43873.0</v>
      </c>
      <c r="D79" s="21" t="s">
        <v>116</v>
      </c>
      <c r="E79" s="21" t="s">
        <v>133</v>
      </c>
      <c r="F79" s="35">
        <v>364.0</v>
      </c>
      <c r="G79" s="21">
        <v>7280.4</v>
      </c>
    </row>
    <row r="80">
      <c r="A80" s="34" t="s">
        <v>111</v>
      </c>
      <c r="B80" s="35">
        <v>70331.0</v>
      </c>
      <c r="C80" s="36">
        <v>43873.0</v>
      </c>
      <c r="D80" s="21" t="s">
        <v>116</v>
      </c>
      <c r="E80" s="21" t="s">
        <v>131</v>
      </c>
      <c r="F80" s="35">
        <v>175.0</v>
      </c>
      <c r="G80" s="21">
        <v>4375.4</v>
      </c>
    </row>
    <row r="81">
      <c r="A81" s="34" t="s">
        <v>111</v>
      </c>
      <c r="B81" s="35">
        <v>70646.0</v>
      </c>
      <c r="C81" s="36">
        <v>43873.0</v>
      </c>
      <c r="D81" s="21" t="s">
        <v>112</v>
      </c>
      <c r="E81" s="21" t="s">
        <v>122</v>
      </c>
      <c r="F81" s="35">
        <v>313.0</v>
      </c>
      <c r="G81" s="21">
        <v>7825.4</v>
      </c>
    </row>
    <row r="82">
      <c r="A82" s="34" t="s">
        <v>111</v>
      </c>
      <c r="B82" s="35">
        <v>70489.0</v>
      </c>
      <c r="C82" s="36">
        <v>43873.0</v>
      </c>
      <c r="D82" s="21" t="s">
        <v>112</v>
      </c>
      <c r="E82" s="21" t="s">
        <v>124</v>
      </c>
      <c r="F82" s="35">
        <v>378.0</v>
      </c>
      <c r="G82" s="21">
        <v>23436.12</v>
      </c>
    </row>
    <row r="83">
      <c r="A83" s="34" t="s">
        <v>111</v>
      </c>
      <c r="B83" s="35">
        <v>70732.0</v>
      </c>
      <c r="C83" s="36">
        <v>43873.0</v>
      </c>
      <c r="D83" s="21" t="s">
        <v>116</v>
      </c>
      <c r="E83" s="21" t="s">
        <v>123</v>
      </c>
      <c r="F83" s="35">
        <v>365.0</v>
      </c>
      <c r="G83" s="21">
        <v>9125.15</v>
      </c>
    </row>
    <row r="84">
      <c r="A84" s="34" t="s">
        <v>111</v>
      </c>
      <c r="B84" s="35">
        <v>70386.0</v>
      </c>
      <c r="C84" s="36">
        <v>43873.0</v>
      </c>
      <c r="D84" s="21" t="s">
        <v>116</v>
      </c>
      <c r="E84" s="21" t="s">
        <v>127</v>
      </c>
      <c r="F84" s="35">
        <v>369.0</v>
      </c>
      <c r="G84" s="21">
        <v>4797.4</v>
      </c>
    </row>
    <row r="85">
      <c r="A85" s="34" t="s">
        <v>111</v>
      </c>
      <c r="B85" s="35">
        <v>70070.0</v>
      </c>
      <c r="C85" s="36">
        <v>43873.0</v>
      </c>
      <c r="D85" s="21" t="s">
        <v>116</v>
      </c>
      <c r="E85" s="21" t="s">
        <v>115</v>
      </c>
      <c r="F85" s="35">
        <v>192.0</v>
      </c>
      <c r="G85" s="21">
        <v>3456.4</v>
      </c>
    </row>
    <row r="86">
      <c r="A86" s="34" t="s">
        <v>111</v>
      </c>
      <c r="B86" s="35">
        <v>70055.0</v>
      </c>
      <c r="C86" s="36">
        <v>43873.0</v>
      </c>
      <c r="D86" s="21" t="s">
        <v>112</v>
      </c>
      <c r="E86" s="21" t="s">
        <v>129</v>
      </c>
      <c r="F86" s="35">
        <v>377.0</v>
      </c>
      <c r="G86" s="21">
        <v>22620.41</v>
      </c>
    </row>
    <row r="87">
      <c r="A87" s="34" t="s">
        <v>111</v>
      </c>
      <c r="B87" s="35">
        <v>70698.0</v>
      </c>
      <c r="C87" s="36">
        <v>43873.0</v>
      </c>
      <c r="D87" s="21" t="s">
        <v>112</v>
      </c>
      <c r="E87" s="21" t="s">
        <v>121</v>
      </c>
      <c r="F87" s="35">
        <v>403.0</v>
      </c>
      <c r="G87" s="21">
        <v>10075.4</v>
      </c>
    </row>
    <row r="88">
      <c r="A88" s="34" t="s">
        <v>111</v>
      </c>
      <c r="B88" s="35">
        <v>70863.0</v>
      </c>
      <c r="C88" s="36">
        <v>43882.0</v>
      </c>
      <c r="D88" s="21" t="s">
        <v>116</v>
      </c>
      <c r="E88" s="21" t="s">
        <v>123</v>
      </c>
      <c r="F88" s="35">
        <v>359.0</v>
      </c>
      <c r="G88" s="21">
        <v>8975.4</v>
      </c>
    </row>
    <row r="89">
      <c r="A89" s="34" t="s">
        <v>111</v>
      </c>
      <c r="B89" s="35">
        <v>70003.0</v>
      </c>
      <c r="C89" s="36">
        <v>43882.0</v>
      </c>
      <c r="D89" s="21" t="s">
        <v>116</v>
      </c>
      <c r="E89" s="21" t="s">
        <v>119</v>
      </c>
      <c r="F89" s="35">
        <v>411.0</v>
      </c>
      <c r="G89" s="21">
        <v>4110.4</v>
      </c>
    </row>
    <row r="90">
      <c r="A90" s="34" t="s">
        <v>111</v>
      </c>
      <c r="B90" s="35">
        <v>70778.0</v>
      </c>
      <c r="C90" s="36">
        <v>43882.0</v>
      </c>
      <c r="D90" s="21" t="s">
        <v>112</v>
      </c>
      <c r="E90" s="21" t="s">
        <v>115</v>
      </c>
      <c r="F90" s="35">
        <v>212.0</v>
      </c>
      <c r="G90" s="21">
        <v>3816.4</v>
      </c>
    </row>
    <row r="91">
      <c r="A91" s="34" t="s">
        <v>111</v>
      </c>
      <c r="B91" s="35">
        <v>70096.0</v>
      </c>
      <c r="C91" s="36">
        <v>43882.0</v>
      </c>
      <c r="D91" s="21" t="s">
        <v>112</v>
      </c>
      <c r="E91" s="21" t="s">
        <v>129</v>
      </c>
      <c r="F91" s="35">
        <v>383.0</v>
      </c>
      <c r="G91" s="21">
        <v>22980.4</v>
      </c>
    </row>
    <row r="92">
      <c r="A92" s="34" t="s">
        <v>111</v>
      </c>
      <c r="B92" s="35">
        <v>70822.0</v>
      </c>
      <c r="C92" s="36">
        <v>43882.0</v>
      </c>
      <c r="D92" s="21" t="s">
        <v>112</v>
      </c>
      <c r="E92" s="21" t="s">
        <v>123</v>
      </c>
      <c r="F92" s="35">
        <v>410.0</v>
      </c>
      <c r="G92" s="21">
        <v>10250.4</v>
      </c>
    </row>
    <row r="93">
      <c r="A93" s="34" t="s">
        <v>111</v>
      </c>
      <c r="B93" s="35">
        <v>70373.0</v>
      </c>
      <c r="C93" s="36">
        <v>43882.0</v>
      </c>
      <c r="D93" s="21" t="s">
        <v>116</v>
      </c>
      <c r="E93" s="21" t="s">
        <v>132</v>
      </c>
      <c r="F93" s="35">
        <v>299.0</v>
      </c>
      <c r="G93" s="21">
        <v>1794.4</v>
      </c>
    </row>
    <row r="94">
      <c r="A94" s="34" t="s">
        <v>111</v>
      </c>
      <c r="B94" s="35">
        <v>70083.0</v>
      </c>
      <c r="C94" s="36">
        <v>43882.0</v>
      </c>
      <c r="D94" s="21" t="s">
        <v>116</v>
      </c>
      <c r="E94" s="21" t="s">
        <v>121</v>
      </c>
      <c r="F94" s="35">
        <v>253.0</v>
      </c>
      <c r="G94" s="21">
        <v>6325.36</v>
      </c>
    </row>
    <row r="95">
      <c r="A95" s="34" t="s">
        <v>111</v>
      </c>
      <c r="B95" s="35">
        <v>71085.0</v>
      </c>
      <c r="C95" s="36">
        <v>43883.0</v>
      </c>
      <c r="D95" s="21" t="s">
        <v>112</v>
      </c>
      <c r="E95" s="21" t="s">
        <v>132</v>
      </c>
      <c r="F95" s="35">
        <v>201.0</v>
      </c>
      <c r="G95" s="21">
        <v>1206.4</v>
      </c>
    </row>
    <row r="96">
      <c r="A96" s="34" t="s">
        <v>111</v>
      </c>
      <c r="B96" s="35">
        <v>70330.0</v>
      </c>
      <c r="C96" s="36">
        <v>43883.0</v>
      </c>
      <c r="D96" s="21" t="s">
        <v>112</v>
      </c>
      <c r="E96" s="21" t="s">
        <v>125</v>
      </c>
      <c r="F96" s="35">
        <v>326.0</v>
      </c>
      <c r="G96" s="21">
        <v>19560.4</v>
      </c>
    </row>
    <row r="97">
      <c r="A97" s="34" t="s">
        <v>111</v>
      </c>
      <c r="B97" s="35">
        <v>70928.0</v>
      </c>
      <c r="C97" s="36">
        <v>43883.0</v>
      </c>
      <c r="D97" s="21" t="s">
        <v>112</v>
      </c>
      <c r="E97" s="21" t="s">
        <v>130</v>
      </c>
      <c r="F97" s="35">
        <v>340.0</v>
      </c>
      <c r="G97" s="21">
        <v>4080.4</v>
      </c>
    </row>
    <row r="98">
      <c r="A98" s="34" t="s">
        <v>111</v>
      </c>
      <c r="B98" s="35">
        <v>70242.0</v>
      </c>
      <c r="C98" s="36">
        <v>43890.0</v>
      </c>
      <c r="D98" s="21" t="s">
        <v>116</v>
      </c>
      <c r="E98" s="21" t="s">
        <v>123</v>
      </c>
      <c r="F98" s="35">
        <v>265.0</v>
      </c>
      <c r="G98" s="21">
        <v>6625.4</v>
      </c>
    </row>
  </sheetData>
  <conditionalFormatting sqref="H1">
    <cfRule type="expression" dxfId="4" priority="1">
      <formula>G3+G4=2</formula>
    </cfRule>
  </conditionalFormatting>
  <drawing r:id="rId2"/>
  <legacyDrawing r:id="rId3"/>
</worksheet>
</file>