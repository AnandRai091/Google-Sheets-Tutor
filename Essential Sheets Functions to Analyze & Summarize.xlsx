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5"/>
    <sheet state="visible" name="Types" sheetId="2" r:id="rId6"/>
    <sheet state="visible" name="UNIQUE &amp; SORT" sheetId="3" r:id="rId7"/>
    <sheet state="visible" name="SUMIFS (COUNT, MAX...)" sheetId="4" r:id="rId8"/>
    <sheet state="visible" name="Round" sheetId="5" r:id="rId9"/>
    <sheet state="visible" name="Logical" sheetId="6" r:id="rId10"/>
    <sheet state="visible" name="IF" sheetId="7" r:id="rId11"/>
    <sheet state="visible" name="Nested IF (IFS)" sheetId="8" r:id="rId12"/>
    <sheet state="visible" name="Errors" sheetId="9" r:id="rId13"/>
    <sheet state="visible" name="Names" sheetId="10" r:id="rId14"/>
    <sheet state="visible" name="Challenge" sheetId="11" r:id="rId15"/>
  </sheets>
  <definedNames>
    <definedName name="prices">Names!$B$5:$B$17</definedName>
    <definedName name="Items">Names!$A$5:$A$17</definedName>
    <definedName name="discount">Names!$C$3</definedName>
    <definedName hidden="1" localSheetId="5" name="Z_3513031A_5A5F_4715_B275_2B5BE03DB0A9_.wvu.FilterData">Logical!$A$16:$E$37</definedName>
  </definedNames>
  <calcPr/>
  <customWorkbookViews>
    <customWorkbookView activeSheetId="0" maximized="1" windowHeight="0" windowWidth="0" guid="{3513031A-5A5F-4715-B275-2B5BE03DB0A9}" name="wrong email"/>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X5">
      <text>
        <t xml:space="preserve">With COUNTUNIQUE we get the same answer.</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Doesn't look professional.</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Average quantity sold for the entire data set.</t>
      </text>
    </comment>
    <comment authorId="0" ref="H6">
      <text>
        <t xml:space="preserve">The average quantity sold based on the FROM and TO dates selected above. Include the selected dates in the calculation.</t>
      </text>
    </comment>
    <comment authorId="0" ref="G13">
      <text>
        <t xml:space="preserve">If average for the selected period is +10% above then overall average then result should be "Higher".
If it's -10% below the overall average then result should be "Lower". If it's within the + or - 10% then result should be "Similar".</t>
      </text>
    </comment>
    <comment authorId="0" ref="G8">
      <text>
        <t xml:space="preserve">Answer should be either "Higher" or "Lower" - leave empty in case both are identical.</t>
      </text>
    </comment>
  </commentList>
</comments>
</file>

<file path=xl/sharedStrings.xml><?xml version="1.0" encoding="utf-8"?>
<sst xmlns="http://schemas.openxmlformats.org/spreadsheetml/2006/main" count="1947" uniqueCount="258">
  <si>
    <t>Google Sheets Essentials</t>
  </si>
  <si>
    <t>Essential Sheets Functions to Analyze &amp; Summarize</t>
  </si>
  <si>
    <t>LINK</t>
  </si>
  <si>
    <t>TOPIC</t>
  </si>
  <si>
    <t>COMPREHENSION</t>
  </si>
  <si>
    <t>YOUR NOTES</t>
  </si>
  <si>
    <t>Important: How to Properly Read &amp; Understand Functions</t>
  </si>
  <si>
    <t>Select One…</t>
  </si>
  <si>
    <t>Unique &amp; Sort Functions</t>
  </si>
  <si>
    <t>SUM(IFS) by Criteria (also COUNT, AVERAGE, MAX, MIN)</t>
  </si>
  <si>
    <t>Rounding Values (the Right Way)</t>
  </si>
  <si>
    <t>Logical Functions (TRUE &amp; FALSE)</t>
  </si>
  <si>
    <t>IF Function</t>
  </si>
  <si>
    <t>Nested IF Function &amp; IFS Function</t>
  </si>
  <si>
    <t>Handling Errors &amp; Pro Tip</t>
  </si>
  <si>
    <t>Named ranges in Sheets</t>
  </si>
  <si>
    <t>Challenge: Summarize Between Dates</t>
  </si>
  <si>
    <t>How to Properly Read &amp; Understand Functions</t>
  </si>
  <si>
    <t>Volatile Functions</t>
  </si>
  <si>
    <t>Instead of...</t>
  </si>
  <si>
    <t>Do this...</t>
  </si>
  <si>
    <t>Select a Suitable Range</t>
  </si>
  <si>
    <t>Some Numbers</t>
  </si>
  <si>
    <t>Respect the Function Signature</t>
  </si>
  <si>
    <t>Properly Mix Text &amp; References</t>
  </si>
  <si>
    <t>UNIQUE &amp; SORT Functions</t>
  </si>
  <si>
    <t>Organize data</t>
  </si>
  <si>
    <t>All Employee Information sorted by Salary in descending order</t>
  </si>
  <si>
    <t>Unique List for Department</t>
  </si>
  <si>
    <t>Unique List for Departments &amp; Positions</t>
  </si>
  <si>
    <r>
      <rPr>
        <rFont val="Calibri"/>
        <color theme="1"/>
        <sz val="11.0"/>
      </rPr>
      <t xml:space="preserve">Only </t>
    </r>
    <r>
      <rPr>
        <rFont val="Calibri"/>
        <b/>
        <color theme="1"/>
        <sz val="11.0"/>
      </rPr>
      <t xml:space="preserve">Names </t>
    </r>
    <r>
      <rPr>
        <rFont val="Calibri"/>
        <color theme="1"/>
        <sz val="11.0"/>
      </rPr>
      <t>sorted by salary</t>
    </r>
  </si>
  <si>
    <t>Name</t>
  </si>
  <si>
    <t>Department</t>
  </si>
  <si>
    <t>Position</t>
  </si>
  <si>
    <t>Salary</t>
  </si>
  <si>
    <t>Walter Miller</t>
  </si>
  <si>
    <t>Sales</t>
  </si>
  <si>
    <t>Assistant</t>
  </si>
  <si>
    <t>Accountant</t>
  </si>
  <si>
    <t>Finance</t>
  </si>
  <si>
    <t>Finance Director</t>
  </si>
  <si>
    <t>Alissa Mitchell</t>
  </si>
  <si>
    <t>Marketing</t>
  </si>
  <si>
    <t>Analyst</t>
  </si>
  <si>
    <t>Alex Collins</t>
  </si>
  <si>
    <t>Procurement</t>
  </si>
  <si>
    <t>Procurement Manager</t>
  </si>
  <si>
    <t>Ann Withers</t>
  </si>
  <si>
    <t>Controller</t>
  </si>
  <si>
    <t>Robert Richardson</t>
  </si>
  <si>
    <t>Head of Sales</t>
  </si>
  <si>
    <t>Kim West</t>
  </si>
  <si>
    <t>Brigitte Bond</t>
  </si>
  <si>
    <t>Sales Manager</t>
  </si>
  <si>
    <t>Daniel Garrett</t>
  </si>
  <si>
    <t>Finance Manager</t>
  </si>
  <si>
    <t>Stevie Bridge</t>
  </si>
  <si>
    <t>Sales Reporting Head</t>
  </si>
  <si>
    <t>Robert Marquez</t>
  </si>
  <si>
    <t>Buyer</t>
  </si>
  <si>
    <t>Insurance Advisor</t>
  </si>
  <si>
    <t>Paul Hill</t>
  </si>
  <si>
    <t>Vanessa Chavez</t>
  </si>
  <si>
    <t>Tax Professional</t>
  </si>
  <si>
    <t>Mike Saban</t>
  </si>
  <si>
    <t>Category Manager</t>
  </si>
  <si>
    <t>Robert Musser</t>
  </si>
  <si>
    <t>Imogen Clarke</t>
  </si>
  <si>
    <t>Jessica Lowe</t>
  </si>
  <si>
    <t>Sales Representative</t>
  </si>
  <si>
    <t>Corinna Schmidt</t>
  </si>
  <si>
    <t>Evie Williamson</t>
  </si>
  <si>
    <t>Digital Marketing</t>
  </si>
  <si>
    <t>Judy Bell</t>
  </si>
  <si>
    <t>Marketing Manager</t>
  </si>
  <si>
    <t>Skye Bennett</t>
  </si>
  <si>
    <t>Digital Marketing Manager</t>
  </si>
  <si>
    <t>Holly Macdonald</t>
  </si>
  <si>
    <t>Braeden Wilkins</t>
  </si>
  <si>
    <t>Gary Miller</t>
  </si>
  <si>
    <t>Donald Caldwell</t>
  </si>
  <si>
    <t>Project Manager</t>
  </si>
  <si>
    <t>Tom Wood</t>
  </si>
  <si>
    <t>Lead Buyer</t>
  </si>
  <si>
    <t>Amber Stevens</t>
  </si>
  <si>
    <t>Projects Lead</t>
  </si>
  <si>
    <t>Matthew Ross</t>
  </si>
  <si>
    <t>Matilda Parry</t>
  </si>
  <si>
    <t>Jordan Parry</t>
  </si>
  <si>
    <t>Heidi Medina</t>
  </si>
  <si>
    <t>Charlie Chambers</t>
  </si>
  <si>
    <t>Betina Bauer</t>
  </si>
  <si>
    <t>Tommy Dixon</t>
  </si>
  <si>
    <t>Kristina Mclean</t>
  </si>
  <si>
    <t>Sales Project Manager</t>
  </si>
  <si>
    <t>Robert Hurley</t>
  </si>
  <si>
    <t>Sales Reporting</t>
  </si>
  <si>
    <t>Cora Briggs</t>
  </si>
  <si>
    <t>Harry Burke</t>
  </si>
  <si>
    <t>Richard Elliot</t>
  </si>
  <si>
    <t>Lukas Hofer</t>
  </si>
  <si>
    <t>Esme Carney</t>
  </si>
  <si>
    <t>Sales Projects</t>
  </si>
  <si>
    <t>Zac Fletcher</t>
  </si>
  <si>
    <t>Crystal Doyle</t>
  </si>
  <si>
    <t>SUMIFS / COUNTIFS / AVERAGEIFS / MAXIFS / MINIFS</t>
  </si>
  <si>
    <t>Summarize by criteria</t>
  </si>
  <si>
    <t>For the combination of Department &amp; Position below calculate the following the below:</t>
  </si>
  <si>
    <t>How many people in the below department earn a salary greater than:</t>
  </si>
  <si>
    <t>For each department (Sales, Marketing, Procurement, Finance) find the values for the below.</t>
  </si>
  <si>
    <t>Test your knowledge up to now:</t>
  </si>
  <si>
    <t>Total Salary (SUMIF)</t>
  </si>
  <si>
    <t>Total Salary (SUMIFS)</t>
  </si>
  <si>
    <t>Average Salary</t>
  </si>
  <si>
    <t>Maximum Salary</t>
  </si>
  <si>
    <t>Minimum Salary</t>
  </si>
  <si>
    <t>Employee Count</t>
  </si>
  <si>
    <t>How many different positions do we have?</t>
  </si>
  <si>
    <t>How many employees do we have?</t>
  </si>
  <si>
    <t>Answer:</t>
  </si>
  <si>
    <t>How many Assistant Positions are there in the Sales Department?</t>
  </si>
  <si>
    <t>Total Salary</t>
  </si>
  <si>
    <t>What's the average salary of an Accountant?</t>
  </si>
  <si>
    <t>Bonus: Count unique positions per department</t>
  </si>
  <si>
    <t>Rounding Values (the right way)</t>
  </si>
  <si>
    <t>Rounding values up or down</t>
  </si>
  <si>
    <t>Item</t>
  </si>
  <si>
    <t>Price $</t>
  </si>
  <si>
    <t>Round to integer</t>
  </si>
  <si>
    <t>Round to 1 decimal</t>
  </si>
  <si>
    <t>Round to multiple of 10</t>
  </si>
  <si>
    <t>Round up to integer</t>
  </si>
  <si>
    <t>Round up to 1 decimal</t>
  </si>
  <si>
    <t>Round down to integer</t>
  </si>
  <si>
    <t>Round down to 1 decimal</t>
  </si>
  <si>
    <t>Men Type T Simple</t>
  </si>
  <si>
    <t>Women Type T Simple</t>
  </si>
  <si>
    <t>Women Crop Top</t>
  </si>
  <si>
    <t>Laptop Bag</t>
  </si>
  <si>
    <t>Smartphone Case Diamond</t>
  </si>
  <si>
    <t>Smartphone Case Simple</t>
  </si>
  <si>
    <t>Men Dress Shirt</t>
  </si>
  <si>
    <t>Unisex Tank Top</t>
  </si>
  <si>
    <t>Men Shorts</t>
  </si>
  <si>
    <t>Women Dress Long</t>
  </si>
  <si>
    <t>Women Dress Cocktail</t>
  </si>
  <si>
    <t>Round the average price to 1 decimal place:</t>
  </si>
  <si>
    <t>Logical &amp; Information Functions</t>
  </si>
  <si>
    <t>Both values above</t>
  </si>
  <si>
    <t>Either value above</t>
  </si>
  <si>
    <t>Basic Logical Test</t>
  </si>
  <si>
    <t>NOT to reverse</t>
  </si>
  <si>
    <r>
      <rPr>
        <color rgb="FF1155CC"/>
        <sz val="9.0"/>
        <u/>
      </rPr>
      <t>https://www.wikipedia.org</t>
    </r>
  </si>
  <si>
    <t>info@help.com</t>
  </si>
  <si>
    <t>Create a Filter View to show records with incorrect Email address syntax</t>
  </si>
  <si>
    <t>Email</t>
  </si>
  <si>
    <t>help</t>
  </si>
  <si>
    <t>Sales Assistant</t>
  </si>
  <si>
    <t>walter.miller@urbanright.com</t>
  </si>
  <si>
    <t>Marketing Analyst</t>
  </si>
  <si>
    <t>alissa.mitchell@urbanright.com</t>
  </si>
  <si>
    <t>Procurement Assistant</t>
  </si>
  <si>
    <t>ann.withers@urbanright.com</t>
  </si>
  <si>
    <t>kim.west@urbanright.com</t>
  </si>
  <si>
    <t>daniel.garrett@ urbanright.com</t>
  </si>
  <si>
    <t>robert.marquez@urbanright.com</t>
  </si>
  <si>
    <t>Marketing Assistant</t>
  </si>
  <si>
    <t>vanessa.chavez@urbanright.com</t>
  </si>
  <si>
    <t>robert.musser@urbanright.com</t>
  </si>
  <si>
    <t>jessica.lowe@urbanright.com</t>
  </si>
  <si>
    <t>evie.williamson@urbanright.com</t>
  </si>
  <si>
    <t>skye.bennett@urbanrightcom</t>
  </si>
  <si>
    <t>braeden.wilkins@urbanright.com</t>
  </si>
  <si>
    <t>Financial Analyst</t>
  </si>
  <si>
    <t>donald.caldwell@urbanright.com</t>
  </si>
  <si>
    <t>amber. Steve ns@urbanright.com</t>
  </si>
  <si>
    <t>matilda.parry@urbanright.com</t>
  </si>
  <si>
    <t>jordan.parryurbanright.com</t>
  </si>
  <si>
    <t>charlie.chambers@urbanright.com</t>
  </si>
  <si>
    <t>Sales Analyst</t>
  </si>
  <si>
    <t>tommy.dixon@urbanright.com</t>
  </si>
  <si>
    <t>robert.hurley@urbanright.com</t>
  </si>
  <si>
    <t>harry.burke@urban right.com</t>
  </si>
  <si>
    <t>richard.elliot@urbanright.com</t>
  </si>
  <si>
    <t>&gt; 100,000 =&gt; High</t>
  </si>
  <si>
    <t>Accountant -&gt; Check</t>
  </si>
  <si>
    <t>Accountants who earn more than 25,000 =&gt; Check</t>
  </si>
  <si>
    <t>Either Accountants or those who earn more than 50,000 =&gt; Check</t>
  </si>
  <si>
    <t>To show the values instead of "Check", reference the cell</t>
  </si>
  <si>
    <t>Tax Analyst</t>
  </si>
  <si>
    <t>More than Average Salary -&gt; High</t>
  </si>
  <si>
    <t>Nested IF &amp; IFS Functions</t>
  </si>
  <si>
    <t>Multiple IF or IFS Functions when you have many conditions</t>
  </si>
  <si>
    <t>Threshold</t>
  </si>
  <si>
    <t>More than threshold -&gt; Show Difference
Less than threshold -&gt; 😒
Same as threshold -&gt; 😐</t>
  </si>
  <si>
    <t>Nested IF</t>
  </si>
  <si>
    <t>IFS</t>
  </si>
  <si>
    <t>Handling Errors</t>
  </si>
  <si>
    <t>Yearly Salary</t>
  </si>
  <si>
    <t>Previous Year Salary</t>
  </si>
  <si>
    <t>% Change</t>
  </si>
  <si>
    <t>% Change (with error handling)</t>
  </si>
  <si>
    <t>to check</t>
  </si>
  <si>
    <t>Error</t>
  </si>
  <si>
    <t>Example</t>
  </si>
  <si>
    <t>Description</t>
  </si>
  <si>
    <t>This is probably the most common error and easiest to pinpoint. When you divide a number by zero you will get this error.</t>
  </si>
  <si>
    <t>This error is returned when the wrong type of argument is used. For example if you try to multiply a number with text.</t>
  </si>
  <si>
    <t>This error results when you move your formula, and haven’t correctly specified which cell references should be fixed and which should move with your formula. You also get this if you delete some cells that were a part of your formula. AND if you use a formula that spills but there are cells with values that block the spillage.</t>
  </si>
  <si>
    <t>The most common reason for this error is because the formula has been mistyped and Sheets doesn't recognize what function you are referring to.</t>
  </si>
  <si>
    <t>This is a frequent error if you are using Lookup formulas (especially in VLOOKUP) and the matching cannot be done.</t>
  </si>
  <si>
    <t>Formula parse error. The common cause of this is when the arguments needed for the formula haven't been input correctly.</t>
  </si>
  <si>
    <t>Working with Names</t>
  </si>
  <si>
    <t>Make your formulas easier to understand.</t>
  </si>
  <si>
    <t>Go to Data -&gt; Named Ranges to see the names</t>
  </si>
  <si>
    <t>Price</t>
  </si>
  <si>
    <t>Discount</t>
  </si>
  <si>
    <t>Average Price</t>
  </si>
  <si>
    <t>Count of items</t>
  </si>
  <si>
    <t>Challenge: Average Sales between Selected Dates</t>
  </si>
  <si>
    <t xml:space="preserve">Find out whether the average quantity sold during the selected period was higher or lower </t>
  </si>
  <si>
    <t>than the quantity sold over the entire period.</t>
  </si>
  <si>
    <r>
      <rPr>
        <rFont val="Roboto"/>
        <color theme="1"/>
      </rPr>
      <t xml:space="preserve">Select </t>
    </r>
    <r>
      <rPr>
        <rFont val="Roboto"/>
        <b/>
        <color theme="1"/>
      </rPr>
      <t xml:space="preserve">FROM </t>
    </r>
    <r>
      <rPr>
        <rFont val="Roboto"/>
        <color theme="1"/>
      </rPr>
      <t>Date</t>
    </r>
  </si>
  <si>
    <r>
      <rPr>
        <rFont val="Roboto"/>
        <color theme="1"/>
      </rPr>
      <t xml:space="preserve">Select </t>
    </r>
    <r>
      <rPr>
        <rFont val="Roboto"/>
        <b/>
        <color theme="1"/>
      </rPr>
      <t xml:space="preserve">TO </t>
    </r>
    <r>
      <rPr>
        <rFont val="Roboto"/>
        <color theme="1"/>
      </rPr>
      <t>Date</t>
    </r>
  </si>
  <si>
    <t>Sales Document</t>
  </si>
  <si>
    <t>Document Date</t>
  </si>
  <si>
    <t>Customer Name</t>
  </si>
  <si>
    <t>Item Description</t>
  </si>
  <si>
    <t>Quantity Sold</t>
  </si>
  <si>
    <t>Dellicia</t>
  </si>
  <si>
    <t>Men type T simple (Black)</t>
  </si>
  <si>
    <t>Average quantity over the selected period</t>
  </si>
  <si>
    <t>Round to closest integer</t>
  </si>
  <si>
    <t>Men type T simple (Brown)</t>
  </si>
  <si>
    <t>Average over the entire period</t>
  </si>
  <si>
    <t>Is the average quantity sold in selected period higher or lower than the overall average?</t>
  </si>
  <si>
    <t>Men shorts (Gray)</t>
  </si>
  <si>
    <t>Erma</t>
  </si>
  <si>
    <t>Women dress Cocktail (Red)</t>
  </si>
  <si>
    <t>Women dress long (Black)</t>
  </si>
  <si>
    <t>Men shorts (Black)</t>
  </si>
  <si>
    <t>Extra points!</t>
  </si>
  <si>
    <t>Women crop top (Black)</t>
  </si>
  <si>
    <t>Compare the averages but this time use a +-10% threshold.
+10% over average -&gt; "Higher", -10% below average -&gt; "Lower" - otherwise "Similar"</t>
  </si>
  <si>
    <t>Men type T simple (White)</t>
  </si>
  <si>
    <t>Men dress shirt (Gray)</t>
  </si>
  <si>
    <t>Men dress shirt (Black)</t>
  </si>
  <si>
    <t>Men dress shirt (White)</t>
  </si>
  <si>
    <t>Laptop bag (Black)</t>
  </si>
  <si>
    <t>Women type T simple (White)</t>
  </si>
  <si>
    <t>Women type T simple (Red)</t>
  </si>
  <si>
    <t>Unisex tank top (Black)</t>
  </si>
  <si>
    <t>Laptop bag (Red)</t>
  </si>
  <si>
    <t>Women type T simple (Black)</t>
  </si>
  <si>
    <t>Smartphone case diamond</t>
  </si>
  <si>
    <t>Unisex tank top (White)</t>
  </si>
  <si>
    <t>Smartphone case simple</t>
  </si>
  <si>
    <t>Aida GmbH</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</si>
</sst>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d/yyyy h:mm:ss"/>
    <numFmt numFmtId="165" formatCode="; ; ;  @"/>
    <numFmt numFmtId="166" formatCode="&quot;$&quot;#,##0"/>
    <numFmt numFmtId="167" formatCode="&quot;$&quot;#,##0.00"/>
    <numFmt numFmtId="168" formatCode="0.000"/>
    <numFmt numFmtId="169" formatCode="0.0"/>
    <numFmt numFmtId="170" formatCode="M/d/yyyy"/>
    <numFmt numFmtId="171" formatCode="m/d/yyyy"/>
  </numFmts>
  <fonts count="18">
    <font>
      <sz val="10.0"/>
      <color rgb="FF000000"/>
      <name val="Roboto"/>
      <scheme val="minor"/>
    </font>
    <font>
      <color theme="1"/>
      <name val="Roboto"/>
      <scheme val="minor"/>
    </font>
    <font>
      <b/>
      <color rgb="FFFFF2CC"/>
      <name val="Roboto"/>
      <scheme val="minor"/>
    </font>
    <font>
      <b/>
      <sz val="14.0"/>
      <color rgb="FFFFFFFF"/>
      <name val="Roboto"/>
      <scheme val="minor"/>
    </font>
    <font>
      <color rgb="FFFFFFFF"/>
      <name val="Roboto"/>
      <scheme val="minor"/>
    </font>
    <font>
      <u/>
      <color rgb="FF1155CC"/>
      <name val="Roboto"/>
      <scheme val="minor"/>
    </font>
    <font>
      <b/>
      <color theme="1"/>
      <name val="Roboto"/>
      <scheme val="minor"/>
    </font>
    <font>
      <u/>
      <color rgb="FF1155CC"/>
    </font>
    <font>
      <u/>
      <color rgb="FF1155CC"/>
    </font>
    <font>
      <b/>
      <sz val="11.0"/>
      <color theme="1"/>
      <name val="Roboto"/>
      <scheme val="minor"/>
    </font>
    <font>
      <sz val="11.0"/>
      <color theme="1"/>
      <name val="Calibri"/>
    </font>
    <font>
      <b/>
      <sz val="11.0"/>
      <color theme="1"/>
      <name val="Calibri"/>
    </font>
    <font/>
    <font>
      <sz val="10.0"/>
      <color theme="1"/>
      <name val="Roboto"/>
      <scheme val="minor"/>
    </font>
    <font>
      <color rgb="FFF3F3F3"/>
      <name val="Roboto"/>
      <scheme val="minor"/>
    </font>
    <font>
      <color theme="1"/>
      <name val="Calibri"/>
    </font>
    <font>
      <u/>
      <color rgb="FF0000FF"/>
    </font>
    <font>
      <color theme="1"/>
      <name val="Roboto"/>
    </font>
  </fonts>
  <fills count="7">
    <fill>
      <patternFill patternType="none"/>
    </fill>
    <fill>
      <patternFill patternType="lightGray"/>
    </fill>
    <fill>
      <patternFill patternType="solid">
        <fgColor theme="4"/>
        <bgColor theme="4"/>
      </patternFill>
    </fill>
    <fill>
      <patternFill patternType="solid">
        <fgColor rgb="FF9FC5E8"/>
        <bgColor rgb="FF9FC5E8"/>
      </patternFill>
    </fill>
    <fill>
      <patternFill patternType="solid">
        <fgColor rgb="FF999999"/>
        <bgColor rgb="FF999999"/>
      </patternFill>
    </fill>
    <fill>
      <patternFill patternType="solid">
        <fgColor rgb="FFF4FFF9"/>
        <bgColor rgb="FFF4FFF9"/>
      </patternFill>
    </fill>
    <fill>
      <patternFill patternType="solid">
        <fgColor rgb="FFFFFAEC"/>
        <bgColor rgb="FFFFFAEC"/>
      </patternFill>
    </fill>
  </fills>
  <borders count="24">
    <border/>
    <border>
      <bottom style="thin">
        <color rgb="FFEFEFEF"/>
      </bottom>
    </border>
    <border>
      <top style="thin">
        <color rgb="FFEFEFEF"/>
      </top>
      <bottom style="thin">
        <color rgb="FFEFEFEF"/>
      </bottom>
    </border>
    <border>
      <bottom style="thin">
        <color rgb="FF434343"/>
      </bottom>
    </border>
    <border>
      <bottom style="thin">
        <color rgb="FF000000"/>
      </bottom>
    </border>
    <border>
      <bottom style="thick">
        <color rgb="FF3E50B3"/>
      </bottom>
    </border>
    <border>
      <bottom style="thick">
        <color rgb="FF02A846"/>
      </bottom>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rder>
    <border>
      <top style="thin">
        <color rgb="FFB7B7B7"/>
      </top>
    </border>
    <border>
      <bottom style="medium">
        <color rgb="FF999999"/>
      </bottom>
    </border>
    <border>
      <bottom style="thin">
        <color rgb="FFB7B7B7"/>
      </bottom>
    </border>
    <border>
      <right style="thin">
        <color rgb="FFB7B7B7"/>
      </right>
      <bottom style="thin">
        <color rgb="FFB7B7B7"/>
      </bottom>
    </border>
    <border>
      <left style="thin">
        <color rgb="FFB7B7B7"/>
      </left>
      <bottom style="thin">
        <color rgb="FFB7B7B7"/>
      </bottom>
    </border>
    <border>
      <top style="thin">
        <color rgb="FFB7B7B7"/>
      </top>
      <bottom style="thin">
        <color rgb="FFB7B7B7"/>
      </bottom>
    </border>
    <border>
      <top style="thick">
        <color rgb="FF3E50B3"/>
      </top>
      <bottom style="thin">
        <color rgb="FFD9D9D9"/>
      </bottom>
    </border>
    <border>
      <bottom style="thin">
        <color rgb="FFD9D9D9"/>
      </bottom>
    </border>
    <border>
      <top style="thin">
        <color rgb="FFD9D9D9"/>
      </top>
      <bottom style="thin">
        <color rgb="FFD9D9D9"/>
      </bottom>
    </border>
    <border>
      <bottom style="thin">
        <color rgb="FF3E50B3"/>
      </bottom>
    </border>
    <border>
      <bottom style="thin">
        <color rgb="FFC9DAF8"/>
      </bottom>
    </border>
    <border>
      <top style="thin">
        <color rgb="FFC9DAF8"/>
      </top>
      <bottom style="thin">
        <color rgb="FFC9DAF8"/>
      </bottom>
    </border>
    <border>
      <top style="thin">
        <color rgb="FFC9DAF8"/>
      </top>
    </border>
    <border>
      <left style="thin">
        <color rgb="FFCCCCCC"/>
      </left>
      <right style="thin">
        <color rgb="FFCCCCCC"/>
      </right>
    </border>
    <border>
      <left style="thin">
        <color rgb="FFCCCCCC"/>
      </left>
      <right style="thin">
        <color rgb="FFCCCCCC"/>
      </right>
      <bottom style="thin">
        <color rgb="FFCCCCCC"/>
      </bottom>
    </border>
  </borders>
  <cellStyleXfs count="1">
    <xf borderId="0" fillId="0" fontId="0" numFmtId="0" applyAlignment="1" applyFont="1"/>
  </cellStyleXfs>
  <cellXfs count="116">
    <xf borderId="0" fillId="0" fontId="0" numFmtId="0" xfId="0" applyAlignment="1" applyFont="1">
      <alignment readingOrder="0" shrinkToFit="0" vertical="bottom" wrapText="0"/>
    </xf>
    <xf borderId="0" fillId="2" fontId="1" numFmtId="0" xfId="0" applyFill="1" applyFont="1"/>
    <xf borderId="0" fillId="2" fontId="2" numFmtId="0" xfId="0" applyAlignment="1" applyFont="1">
      <alignment horizontal="center" readingOrder="0"/>
    </xf>
    <xf borderId="0" fillId="2" fontId="3" numFmtId="0" xfId="0" applyAlignment="1" applyFont="1">
      <alignment horizontal="center" readingOrder="0"/>
    </xf>
    <xf borderId="0" fillId="3" fontId="1" numFmtId="0" xfId="0" applyFill="1" applyFont="1"/>
    <xf borderId="0" fillId="3" fontId="4" numFmtId="0" xfId="0" applyAlignment="1" applyFont="1">
      <alignment readingOrder="0"/>
    </xf>
    <xf borderId="0" fillId="3" fontId="5" numFmtId="0" xfId="0" applyAlignment="1" applyFont="1">
      <alignment readingOrder="0"/>
    </xf>
    <xf borderId="0" fillId="0" fontId="6" numFmtId="0" xfId="0" applyAlignment="1" applyFont="1">
      <alignment readingOrder="0"/>
    </xf>
    <xf borderId="0" fillId="0" fontId="6" numFmtId="0" xfId="0" applyFont="1"/>
    <xf borderId="1" fillId="0" fontId="1" numFmtId="0" xfId="0" applyBorder="1" applyFont="1"/>
    <xf borderId="1" fillId="0" fontId="7" numFmtId="0" xfId="0" applyAlignment="1" applyBorder="1" applyFont="1">
      <alignment readingOrder="0"/>
    </xf>
    <xf borderId="1" fillId="0" fontId="1" numFmtId="0" xfId="0" applyAlignment="1" applyBorder="1" applyFont="1">
      <alignment readingOrder="0" shrinkToFit="0" wrapText="1"/>
    </xf>
    <xf borderId="1" fillId="0" fontId="1" numFmtId="0" xfId="0" applyAlignment="1" applyBorder="1" applyFont="1">
      <alignment readingOrder="0"/>
    </xf>
    <xf borderId="2" fillId="0" fontId="1" numFmtId="0" xfId="0" applyBorder="1" applyFont="1"/>
    <xf borderId="2" fillId="0" fontId="8" numFmtId="0" xfId="0" applyAlignment="1" applyBorder="1" applyFont="1">
      <alignment readingOrder="0"/>
    </xf>
    <xf borderId="2" fillId="0" fontId="1" numFmtId="0" xfId="0" applyAlignment="1" applyBorder="1" applyFont="1">
      <alignment readingOrder="0" shrinkToFit="0" wrapText="1"/>
    </xf>
    <xf borderId="2" fillId="0" fontId="1" numFmtId="0" xfId="0" applyAlignment="1" applyBorder="1" applyFont="1">
      <alignment readingOrder="0"/>
    </xf>
    <xf borderId="0" fillId="3" fontId="1" numFmtId="0" xfId="0" applyAlignment="1" applyFont="1">
      <alignment shrinkToFit="0" wrapText="1"/>
    </xf>
    <xf borderId="3" fillId="0" fontId="9" numFmtId="0" xfId="0" applyAlignment="1" applyBorder="1" applyFont="1">
      <alignment readingOrder="0"/>
    </xf>
    <xf borderId="3" fillId="0" fontId="1" numFmtId="0" xfId="0" applyBorder="1" applyFont="1"/>
    <xf borderId="0" fillId="0" fontId="1" numFmtId="0" xfId="0" applyAlignment="1" applyFont="1">
      <alignment readingOrder="0"/>
    </xf>
    <xf borderId="4" fillId="0" fontId="6" numFmtId="0" xfId="0" applyAlignment="1" applyBorder="1" applyFont="1">
      <alignment readingOrder="0"/>
    </xf>
    <xf borderId="0" fillId="0" fontId="1" numFmtId="14" xfId="0" applyFont="1" applyNumberFormat="1"/>
    <xf borderId="0" fillId="0" fontId="1" numFmtId="0" xfId="0" applyFont="1"/>
    <xf borderId="0" fillId="0" fontId="1" numFmtId="164" xfId="0" applyFont="1" applyNumberFormat="1"/>
    <xf borderId="0" fillId="4" fontId="1" numFmtId="0" xfId="0" applyFill="1" applyFont="1"/>
    <xf borderId="0" fillId="0" fontId="6" numFmtId="0" xfId="0" applyAlignment="1" applyFont="1">
      <alignment readingOrder="0" shrinkToFit="0" vertical="center" wrapText="1"/>
    </xf>
    <xf borderId="0" fillId="0" fontId="6" numFmtId="165" xfId="0" applyAlignment="1" applyFont="1" applyNumberFormat="1">
      <alignment readingOrder="0" shrinkToFit="0" vertical="center" wrapText="1"/>
    </xf>
    <xf borderId="0" fillId="0" fontId="10" numFmtId="0" xfId="0" applyAlignment="1" applyFont="1">
      <alignment readingOrder="0" shrinkToFit="0" vertical="bottom" wrapText="1"/>
    </xf>
    <xf borderId="5" fillId="0" fontId="11" numFmtId="0" xfId="0" applyAlignment="1" applyBorder="1" applyFont="1">
      <alignment readingOrder="0" vertical="bottom"/>
    </xf>
    <xf borderId="5" fillId="0" fontId="11" numFmtId="0" xfId="0" applyAlignment="1" applyBorder="1" applyFont="1">
      <alignment vertical="bottom"/>
    </xf>
    <xf borderId="6" fillId="0" fontId="12" numFmtId="0" xfId="0" applyBorder="1" applyFont="1"/>
    <xf borderId="6" fillId="0" fontId="11" numFmtId="0" xfId="0" applyAlignment="1" applyBorder="1" applyFont="1">
      <alignment vertical="bottom"/>
    </xf>
    <xf borderId="0" fillId="0" fontId="13" numFmtId="0" xfId="0" applyAlignment="1" applyFont="1">
      <alignment horizontal="left" readingOrder="0" vertical="bottom"/>
    </xf>
    <xf borderId="0" fillId="0" fontId="13" numFmtId="0" xfId="0" applyAlignment="1" applyFont="1">
      <alignment readingOrder="0" vertical="bottom"/>
    </xf>
    <xf borderId="0" fillId="0" fontId="13" numFmtId="3" xfId="0" applyAlignment="1" applyFont="1" applyNumberFormat="1">
      <alignment horizontal="right" vertical="bottom"/>
    </xf>
    <xf borderId="0" fillId="5" fontId="1" numFmtId="0" xfId="0" applyFill="1" applyFont="1"/>
    <xf borderId="0" fillId="0" fontId="1" numFmtId="3" xfId="0" applyFont="1" applyNumberFormat="1"/>
    <xf borderId="0" fillId="0" fontId="13" numFmtId="0" xfId="0" applyAlignment="1" applyFont="1">
      <alignment horizontal="left" vertical="bottom"/>
    </xf>
    <xf borderId="0" fillId="0" fontId="13" numFmtId="0" xfId="0" applyAlignment="1" applyFont="1">
      <alignment vertical="bottom"/>
    </xf>
    <xf borderId="0" fillId="0" fontId="1" numFmtId="0" xfId="0" applyAlignment="1" applyFont="1">
      <alignment readingOrder="0" shrinkToFit="0" wrapText="1"/>
    </xf>
    <xf borderId="0" fillId="0" fontId="1" numFmtId="0" xfId="0" applyAlignment="1" applyFont="1">
      <alignment readingOrder="0" shrinkToFit="0" vertical="center" wrapText="1"/>
    </xf>
    <xf borderId="6" fillId="0" fontId="11" numFmtId="0" xfId="0" applyAlignment="1" applyBorder="1" applyFont="1">
      <alignment readingOrder="0" shrinkToFit="0" vertical="bottom" wrapText="1"/>
    </xf>
    <xf borderId="0" fillId="0" fontId="6" numFmtId="0" xfId="0" applyAlignment="1" applyFont="1">
      <alignment horizontal="right" readingOrder="0"/>
    </xf>
    <xf borderId="7" fillId="6" fontId="1" numFmtId="166" xfId="0" applyAlignment="1" applyBorder="1" applyFill="1" applyFont="1" applyNumberFormat="1">
      <alignment readingOrder="0"/>
    </xf>
    <xf borderId="0" fillId="4" fontId="14" numFmtId="0" xfId="0" applyFont="1"/>
    <xf borderId="7" fillId="5" fontId="1" numFmtId="0" xfId="0" applyAlignment="1" applyBorder="1" applyFont="1">
      <alignment readingOrder="0"/>
    </xf>
    <xf borderId="0" fillId="5" fontId="13" numFmtId="3" xfId="0" applyAlignment="1" applyFont="1" applyNumberFormat="1">
      <alignment horizontal="right" vertical="bottom"/>
    </xf>
    <xf borderId="7" fillId="5" fontId="1" numFmtId="0" xfId="0" applyBorder="1" applyFont="1"/>
    <xf borderId="0" fillId="0" fontId="1" numFmtId="0" xfId="0" applyAlignment="1" applyFont="1">
      <alignment horizontal="right" readingOrder="0"/>
    </xf>
    <xf borderId="7" fillId="5" fontId="1" numFmtId="167" xfId="0" applyAlignment="1" applyBorder="1" applyFont="1" applyNumberFormat="1">
      <alignment readingOrder="0"/>
    </xf>
    <xf borderId="7" fillId="5" fontId="1" numFmtId="167" xfId="0" applyBorder="1" applyFont="1" applyNumberFormat="1"/>
    <xf borderId="0" fillId="0" fontId="15" numFmtId="0" xfId="0" applyAlignment="1" applyFont="1">
      <alignment horizontal="right" vertical="bottom"/>
    </xf>
    <xf borderId="6" fillId="0" fontId="11" numFmtId="0" xfId="0" applyAlignment="1" applyBorder="1" applyFont="1">
      <alignment shrinkToFit="0" vertical="bottom" wrapText="1"/>
    </xf>
    <xf borderId="0" fillId="0" fontId="1" numFmtId="2" xfId="0" applyAlignment="1" applyFont="1" applyNumberFormat="1">
      <alignment readingOrder="0"/>
    </xf>
    <xf borderId="0" fillId="5" fontId="1" numFmtId="2" xfId="0" applyFont="1" applyNumberFormat="1"/>
    <xf borderId="0" fillId="5" fontId="1" numFmtId="2" xfId="0" applyAlignment="1" applyFont="1" applyNumberFormat="1">
      <alignment readingOrder="0"/>
    </xf>
    <xf borderId="0" fillId="0" fontId="1" numFmtId="168" xfId="0" applyFont="1" applyNumberFormat="1"/>
    <xf borderId="7" fillId="5" fontId="1" numFmtId="169" xfId="0" applyAlignment="1" applyBorder="1" applyFont="1" applyNumberFormat="1">
      <alignment readingOrder="0"/>
    </xf>
    <xf borderId="7" fillId="6" fontId="1" numFmtId="0" xfId="0" applyAlignment="1" applyBorder="1" applyFont="1">
      <alignment readingOrder="0"/>
    </xf>
    <xf borderId="0" fillId="0" fontId="16" numFmtId="0" xfId="0" applyAlignment="1" applyFont="1">
      <alignment readingOrder="0"/>
    </xf>
    <xf borderId="0" fillId="0" fontId="1" numFmtId="0" xfId="0" applyAlignment="1" applyFont="1">
      <alignment readingOrder="0"/>
    </xf>
    <xf borderId="0" fillId="0" fontId="1" numFmtId="0" xfId="0" applyAlignment="1" applyFont="1">
      <alignment readingOrder="0"/>
    </xf>
    <xf borderId="0" fillId="0" fontId="11" numFmtId="0" xfId="0" applyAlignment="1" applyFont="1">
      <alignment readingOrder="0" shrinkToFit="0" vertical="bottom" wrapText="1"/>
    </xf>
    <xf borderId="0" fillId="5" fontId="1" numFmtId="3" xfId="0" applyFont="1" applyNumberFormat="1"/>
    <xf borderId="0" fillId="0" fontId="13" numFmtId="3" xfId="0" applyAlignment="1" applyFont="1" applyNumberFormat="1">
      <alignment horizontal="right" readingOrder="0" vertical="bottom"/>
    </xf>
    <xf borderId="7" fillId="5" fontId="1" numFmtId="166" xfId="0" applyAlignment="1" applyBorder="1" applyFont="1" applyNumberFormat="1">
      <alignment readingOrder="0"/>
    </xf>
    <xf borderId="8" fillId="6" fontId="1" numFmtId="166" xfId="0" applyAlignment="1" applyBorder="1" applyFont="1" applyNumberFormat="1">
      <alignment readingOrder="0"/>
    </xf>
    <xf borderId="9" fillId="0" fontId="11" numFmtId="0" xfId="0" applyAlignment="1" applyBorder="1" applyFont="1">
      <alignment readingOrder="0" shrinkToFit="0" vertical="bottom" wrapText="1"/>
    </xf>
    <xf borderId="9" fillId="0" fontId="12" numFmtId="0" xfId="0" applyBorder="1" applyFont="1"/>
    <xf borderId="0" fillId="0" fontId="11" numFmtId="0" xfId="0" applyAlignment="1" applyFont="1">
      <alignment readingOrder="0" vertical="bottom"/>
    </xf>
    <xf borderId="0" fillId="0" fontId="11" numFmtId="0" xfId="0" applyAlignment="1" applyFont="1">
      <alignment vertical="bottom"/>
    </xf>
    <xf borderId="10" fillId="0" fontId="12" numFmtId="0" xfId="0" applyBorder="1" applyFont="1"/>
    <xf borderId="6" fillId="0" fontId="11" numFmtId="0" xfId="0" applyAlignment="1" applyBorder="1" applyFont="1">
      <alignment horizontal="center" vertical="bottom"/>
    </xf>
    <xf borderId="6" fillId="0" fontId="11" numFmtId="0" xfId="0" applyAlignment="1" applyBorder="1" applyFont="1">
      <alignment horizontal="center" readingOrder="0" vertical="bottom"/>
    </xf>
    <xf borderId="11" fillId="0" fontId="13" numFmtId="0" xfId="0" applyAlignment="1" applyBorder="1" applyFont="1">
      <alignment horizontal="left" vertical="bottom"/>
    </xf>
    <xf borderId="11" fillId="0" fontId="13" numFmtId="0" xfId="0" applyAlignment="1" applyBorder="1" applyFont="1">
      <alignment vertical="bottom"/>
    </xf>
    <xf borderId="11" fillId="0" fontId="13" numFmtId="3" xfId="0" applyAlignment="1" applyBorder="1" applyFont="1" applyNumberFormat="1">
      <alignment horizontal="right" vertical="bottom"/>
    </xf>
    <xf borderId="12" fillId="5" fontId="13" numFmtId="3" xfId="0" applyAlignment="1" applyBorder="1" applyFont="1" applyNumberFormat="1">
      <alignment horizontal="right" vertical="bottom"/>
    </xf>
    <xf borderId="13" fillId="5" fontId="1" numFmtId="0" xfId="0" applyBorder="1" applyFont="1"/>
    <xf borderId="14" fillId="0" fontId="13" numFmtId="0" xfId="0" applyAlignment="1" applyBorder="1" applyFont="1">
      <alignment horizontal="left" vertical="bottom"/>
    </xf>
    <xf borderId="14" fillId="0" fontId="13" numFmtId="0" xfId="0" applyAlignment="1" applyBorder="1" applyFont="1">
      <alignment vertical="bottom"/>
    </xf>
    <xf borderId="14" fillId="0" fontId="13" numFmtId="3" xfId="0" applyAlignment="1" applyBorder="1" applyFont="1" applyNumberFormat="1">
      <alignment horizontal="right" vertical="bottom"/>
    </xf>
    <xf borderId="0" fillId="0" fontId="1" numFmtId="0" xfId="0" applyAlignment="1" applyFont="1">
      <alignment shrinkToFit="0" wrapText="1"/>
    </xf>
    <xf borderId="6" fillId="0" fontId="11" numFmtId="0" xfId="0" applyAlignment="1" applyBorder="1" applyFont="1">
      <alignment readingOrder="0" vertical="bottom"/>
    </xf>
    <xf borderId="15" fillId="0" fontId="17" numFmtId="0" xfId="0" applyAlignment="1" applyBorder="1" applyFont="1">
      <alignment vertical="bottom"/>
    </xf>
    <xf borderId="15" fillId="0" fontId="17" numFmtId="3" xfId="0" applyAlignment="1" applyBorder="1" applyFont="1" applyNumberFormat="1">
      <alignment horizontal="right" vertical="bottom"/>
    </xf>
    <xf borderId="16" fillId="5" fontId="1" numFmtId="10" xfId="0" applyAlignment="1" applyBorder="1" applyFont="1" applyNumberFormat="1">
      <alignment readingOrder="0"/>
    </xf>
    <xf borderId="17" fillId="0" fontId="17" numFmtId="0" xfId="0" applyAlignment="1" applyBorder="1" applyFont="1">
      <alignment vertical="bottom"/>
    </xf>
    <xf borderId="17" fillId="0" fontId="17" numFmtId="3" xfId="0" applyAlignment="1" applyBorder="1" applyFont="1" applyNumberFormat="1">
      <alignment horizontal="right" vertical="bottom"/>
    </xf>
    <xf borderId="0" fillId="0" fontId="1" numFmtId="10" xfId="0" applyAlignment="1" applyFont="1" applyNumberFormat="1">
      <alignment readingOrder="0"/>
    </xf>
    <xf borderId="17" fillId="0" fontId="17" numFmtId="0" xfId="0" applyAlignment="1" applyBorder="1" applyFont="1">
      <alignment vertical="bottom"/>
    </xf>
    <xf borderId="17" fillId="0" fontId="17" numFmtId="3" xfId="0" applyAlignment="1" applyBorder="1" applyFont="1" applyNumberFormat="1">
      <alignment horizontal="right" readingOrder="0" vertical="bottom"/>
    </xf>
    <xf borderId="18" fillId="0" fontId="6" numFmtId="0" xfId="0" applyAlignment="1" applyBorder="1" applyFont="1">
      <alignment readingOrder="0"/>
    </xf>
    <xf borderId="19" fillId="0" fontId="1" numFmtId="0" xfId="0" applyAlignment="1" applyBorder="1" applyFont="1">
      <alignment readingOrder="0"/>
    </xf>
    <xf borderId="19" fillId="0" fontId="1" numFmtId="0" xfId="0" applyBorder="1" applyFont="1"/>
    <xf borderId="19" fillId="0" fontId="1" numFmtId="0" xfId="0" applyAlignment="1" applyBorder="1" applyFont="1">
      <alignment readingOrder="0" shrinkToFit="0" wrapText="1"/>
    </xf>
    <xf borderId="19" fillId="0" fontId="12" numFmtId="0" xfId="0" applyBorder="1" applyFont="1"/>
    <xf borderId="20" fillId="0" fontId="1" numFmtId="0" xfId="0" applyBorder="1" applyFont="1"/>
    <xf borderId="20" fillId="0" fontId="1" numFmtId="0" xfId="0" applyAlignment="1" applyBorder="1" applyFont="1">
      <alignment readingOrder="0" shrinkToFit="0" wrapText="1"/>
    </xf>
    <xf borderId="20" fillId="0" fontId="12" numFmtId="0" xfId="0" applyBorder="1" applyFont="1"/>
    <xf borderId="20" fillId="0" fontId="1" numFmtId="0" xfId="0" applyAlignment="1" applyBorder="1" applyFont="1">
      <alignment readingOrder="0"/>
    </xf>
    <xf borderId="20" fillId="0" fontId="1" numFmtId="0" xfId="0" applyAlignment="1" applyBorder="1" applyFont="1">
      <alignment readingOrder="0" shrinkToFit="0" wrapText="1"/>
    </xf>
    <xf borderId="21" fillId="0" fontId="1" numFmtId="0" xfId="0" applyAlignment="1" applyBorder="1" applyFont="1">
      <alignment readingOrder="0"/>
    </xf>
    <xf borderId="21" fillId="0" fontId="1" numFmtId="0" xfId="0" applyBorder="1" applyFont="1"/>
    <xf borderId="21" fillId="0" fontId="1" numFmtId="0" xfId="0" applyAlignment="1" applyBorder="1" applyFont="1">
      <alignment readingOrder="0" shrinkToFit="0" wrapText="1"/>
    </xf>
    <xf borderId="21" fillId="0" fontId="12" numFmtId="0" xfId="0" applyBorder="1" applyFont="1"/>
    <xf borderId="0" fillId="0" fontId="1" numFmtId="0" xfId="0" applyAlignment="1" applyFont="1">
      <alignment readingOrder="0" shrinkToFit="0" wrapText="1"/>
    </xf>
    <xf borderId="0" fillId="6" fontId="6" numFmtId="9" xfId="0" applyAlignment="1" applyFont="1" applyNumberFormat="1">
      <alignment readingOrder="0"/>
    </xf>
    <xf borderId="7" fillId="6" fontId="1" numFmtId="170" xfId="0" applyAlignment="1" applyBorder="1" applyFont="1" applyNumberFormat="1">
      <alignment readingOrder="0"/>
    </xf>
    <xf borderId="0" fillId="0" fontId="1" numFmtId="171" xfId="0" applyAlignment="1" applyFont="1" applyNumberFormat="1">
      <alignment readingOrder="0"/>
    </xf>
    <xf borderId="0" fillId="0" fontId="1" numFmtId="0" xfId="0" applyAlignment="1" applyFont="1">
      <alignment horizontal="right" readingOrder="0" shrinkToFit="0" vertical="center" wrapText="1"/>
    </xf>
    <xf borderId="8" fillId="5" fontId="1" numFmtId="0" xfId="0" applyAlignment="1" applyBorder="1" applyFont="1">
      <alignment readingOrder="0" vertical="center"/>
    </xf>
    <xf borderId="22" fillId="0" fontId="12" numFmtId="0" xfId="0" applyBorder="1" applyFont="1"/>
    <xf borderId="23" fillId="0" fontId="12" numFmtId="0" xfId="0" applyBorder="1" applyFont="1"/>
    <xf borderId="8" fillId="5" fontId="1" numFmtId="0" xfId="0" applyAlignment="1" applyBorder="1" applyFont="1">
      <alignment horizontal="left" readingOrder="0" vertical="center"/>
    </xf>
  </cellXfs>
  <cellStyles count="1">
    <cellStyle xfId="0" name="Normal" builtinId="0"/>
  </cellStyles>
  <dxfs count="3">
    <dxf>
      <font/>
      <fill>
        <patternFill patternType="solid">
          <fgColor rgb="FFD9EAD3"/>
          <bgColor rgb="FFD9EAD3"/>
        </patternFill>
      </fill>
      <border/>
    </dxf>
    <dxf>
      <font/>
      <fill>
        <patternFill patternType="solid">
          <fgColor rgb="FFFFF2CC"/>
          <bgColor rgb="FFFFF2CC"/>
        </patternFill>
      </fill>
      <border/>
    </dxf>
    <dxf>
      <font/>
      <fill>
        <patternFill patternType="solid">
          <fgColor rgb="FFFAE5E5"/>
          <bgColor rgb="FFFAE5E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3E50B3"/>
      </a:accent1>
      <a:accent2>
        <a:srgbClr val="F44234"/>
      </a:accent2>
      <a:accent3>
        <a:srgbClr val="E2F54C"/>
      </a:accent3>
      <a:accent4>
        <a:srgbClr val="02A846"/>
      </a:accent4>
      <a:accent5>
        <a:srgbClr val="E71D62"/>
      </a:accent5>
      <a:accent6>
        <a:srgbClr val="9B26AE"/>
      </a:accent6>
      <a:hlink>
        <a:srgbClr val="1155CC"/>
      </a:hlink>
      <a:folHlink>
        <a:srgbClr val="1155CC"/>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wikipedia.org/"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9.xml"/><Relationship Id="rId3"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1.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71D62"/>
    <outlinePr summaryBelow="0" summaryRight="0"/>
  </sheetPr>
  <sheetViews>
    <sheetView showGridLines="0" workbookViewId="0"/>
  </sheetViews>
  <sheetFormatPr customHeight="1" defaultColWidth="12.63" defaultRowHeight="15.75"/>
  <cols>
    <col customWidth="1" min="1" max="1" width="3.25"/>
    <col customWidth="1" min="2" max="2" width="9.5"/>
    <col customWidth="1" min="3" max="3" width="36.75"/>
    <col customWidth="1" min="4" max="4" width="3.13"/>
    <col customWidth="1" min="5" max="5" width="21.75"/>
    <col customWidth="1" min="6" max="6" width="37.63"/>
    <col customWidth="1" min="7" max="7" width="7.63"/>
  </cols>
  <sheetData>
    <row r="1">
      <c r="A1" s="1"/>
      <c r="B1" s="2" t="s">
        <v>0</v>
      </c>
    </row>
    <row r="2">
      <c r="A2" s="1"/>
      <c r="B2" s="3" t="s">
        <v>1</v>
      </c>
    </row>
    <row r="3">
      <c r="A3" s="4"/>
      <c r="B3" s="5"/>
      <c r="C3" s="4"/>
      <c r="D3" s="4"/>
      <c r="E3" s="6"/>
      <c r="F3" s="4"/>
      <c r="G3" s="4"/>
    </row>
    <row r="4" ht="24.75" customHeight="1">
      <c r="B4" s="7" t="s">
        <v>2</v>
      </c>
      <c r="C4" s="7" t="s">
        <v>3</v>
      </c>
      <c r="D4" s="8"/>
      <c r="E4" s="7" t="s">
        <v>4</v>
      </c>
      <c r="F4" s="7" t="s">
        <v>5</v>
      </c>
      <c r="G4" s="8"/>
    </row>
    <row r="5">
      <c r="A5" s="9"/>
      <c r="B5" s="10" t="s">
        <v>2</v>
      </c>
      <c r="C5" s="11" t="s">
        <v>6</v>
      </c>
      <c r="D5" s="9"/>
      <c r="E5" s="12" t="s">
        <v>7</v>
      </c>
      <c r="F5" s="9"/>
      <c r="G5" s="9"/>
    </row>
    <row r="6" ht="16.5" customHeight="1">
      <c r="A6" s="13"/>
      <c r="B6" s="14" t="s">
        <v>2</v>
      </c>
      <c r="C6" s="15" t="s">
        <v>8</v>
      </c>
      <c r="D6" s="13"/>
      <c r="E6" s="16" t="s">
        <v>7</v>
      </c>
      <c r="F6" s="13"/>
      <c r="G6" s="13"/>
    </row>
    <row r="7">
      <c r="A7" s="13"/>
      <c r="B7" s="10" t="s">
        <v>2</v>
      </c>
      <c r="C7" s="15" t="s">
        <v>9</v>
      </c>
      <c r="D7" s="13"/>
      <c r="E7" s="16" t="s">
        <v>7</v>
      </c>
      <c r="F7" s="13"/>
      <c r="G7" s="13"/>
    </row>
    <row r="8">
      <c r="A8" s="13"/>
      <c r="B8" s="14" t="s">
        <v>2</v>
      </c>
      <c r="C8" s="15" t="s">
        <v>10</v>
      </c>
      <c r="D8" s="13"/>
      <c r="E8" s="16" t="s">
        <v>7</v>
      </c>
      <c r="F8" s="13"/>
      <c r="G8" s="13"/>
    </row>
    <row r="9">
      <c r="A9" s="13"/>
      <c r="B9" s="14" t="s">
        <v>2</v>
      </c>
      <c r="C9" s="15" t="s">
        <v>11</v>
      </c>
      <c r="D9" s="13"/>
      <c r="E9" s="16" t="s">
        <v>7</v>
      </c>
      <c r="F9" s="13"/>
      <c r="G9" s="13"/>
    </row>
    <row r="10">
      <c r="A10" s="13"/>
      <c r="B10" s="14" t="s">
        <v>2</v>
      </c>
      <c r="C10" s="15" t="s">
        <v>12</v>
      </c>
      <c r="D10" s="13"/>
      <c r="E10" s="16" t="s">
        <v>7</v>
      </c>
      <c r="F10" s="13"/>
      <c r="G10" s="13"/>
    </row>
    <row r="11">
      <c r="A11" s="13"/>
      <c r="B11" s="14" t="s">
        <v>2</v>
      </c>
      <c r="C11" s="15" t="s">
        <v>13</v>
      </c>
      <c r="D11" s="13"/>
      <c r="E11" s="16" t="s">
        <v>7</v>
      </c>
      <c r="F11" s="13"/>
      <c r="G11" s="13"/>
    </row>
    <row r="12">
      <c r="A12" s="13"/>
      <c r="B12" s="14" t="s">
        <v>2</v>
      </c>
      <c r="C12" s="15" t="s">
        <v>14</v>
      </c>
      <c r="D12" s="13"/>
      <c r="E12" s="16" t="s">
        <v>7</v>
      </c>
      <c r="F12" s="13"/>
      <c r="G12" s="13"/>
    </row>
    <row r="13">
      <c r="A13" s="13"/>
      <c r="B13" s="14" t="s">
        <v>2</v>
      </c>
      <c r="C13" s="15" t="s">
        <v>15</v>
      </c>
      <c r="D13" s="13"/>
      <c r="E13" s="16" t="s">
        <v>7</v>
      </c>
      <c r="F13" s="13"/>
      <c r="G13" s="13"/>
    </row>
    <row r="14">
      <c r="A14" s="13"/>
      <c r="B14" s="14" t="s">
        <v>2</v>
      </c>
      <c r="C14" s="15" t="s">
        <v>16</v>
      </c>
      <c r="D14" s="13"/>
      <c r="E14" s="16" t="s">
        <v>7</v>
      </c>
      <c r="F14" s="13"/>
      <c r="G14" s="13"/>
    </row>
    <row r="15">
      <c r="A15" s="13"/>
      <c r="B15" s="13"/>
      <c r="C15" s="15"/>
      <c r="D15" s="13"/>
      <c r="E15" s="16"/>
      <c r="F15" s="13"/>
      <c r="G15" s="13"/>
    </row>
    <row r="16">
      <c r="A16" s="13"/>
      <c r="B16" s="13"/>
      <c r="C16" s="15"/>
      <c r="D16" s="13"/>
      <c r="E16" s="16"/>
      <c r="F16" s="13"/>
      <c r="G16" s="13"/>
    </row>
    <row r="17" ht="9.75" customHeight="1">
      <c r="A17" s="4"/>
      <c r="B17" s="4"/>
      <c r="C17" s="17"/>
      <c r="D17" s="4"/>
      <c r="E17" s="4"/>
      <c r="F17" s="4"/>
      <c r="G17" s="4"/>
    </row>
  </sheetData>
  <mergeCells count="2">
    <mergeCell ref="B1:G1"/>
    <mergeCell ref="B2:G2"/>
  </mergeCells>
  <conditionalFormatting sqref="B5:F16">
    <cfRule type="expression" dxfId="0" priority="1">
      <formula>$E5="Done &amp; Understood"</formula>
    </cfRule>
  </conditionalFormatting>
  <conditionalFormatting sqref="B5:F16">
    <cfRule type="expression" dxfId="1" priority="2">
      <formula>$E5="Done but needs practice"</formula>
    </cfRule>
  </conditionalFormatting>
  <conditionalFormatting sqref="B5:F16">
    <cfRule type="expression" dxfId="2" priority="3">
      <formula>$E5="Review Later"</formula>
    </cfRule>
  </conditionalFormatting>
  <dataValidations>
    <dataValidation type="list" allowBlank="1" showInputMessage="1" prompt="Select your level of understanding" sqref="E5:E14">
      <formula1>"Select One…,Done &amp; Understood,Done but needs practice,Review Later"</formula1>
    </dataValidation>
  </dataValidations>
  <hyperlinks>
    <hyperlink display="LINK" location="Types!A1" ref="B5"/>
    <hyperlink display="LINK" location="'UNIQUE &amp; SORT'!A1" ref="B6"/>
    <hyperlink display="LINK" location="'SUMIFS (COUNT, MAX...)'!A1" ref="B7"/>
    <hyperlink display="LINK" location="Round!A1" ref="B8"/>
    <hyperlink display="LINK" location="Logical!A1" ref="B9"/>
    <hyperlink display="LINK" location="IF!A1" ref="B10"/>
    <hyperlink display="LINK" location="'Nested IF (IFS)'!A1" ref="B11"/>
    <hyperlink display="LINK" location="Errors!A1" ref="B12"/>
    <hyperlink display="LINK" location="Names!A1" ref="B13"/>
    <hyperlink display="LINK" location="Challenge!A1" ref="B14"/>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5F4"/>
    <outlinePr summaryBelow="0" summaryRight="0"/>
  </sheetPr>
  <sheetViews>
    <sheetView workbookViewId="0"/>
  </sheetViews>
  <sheetFormatPr customHeight="1" defaultColWidth="12.63" defaultRowHeight="15.75"/>
  <cols>
    <col customWidth="1" min="1" max="1" width="28.75"/>
    <col customWidth="1" min="2" max="2" width="20.38"/>
    <col customWidth="1" min="4" max="4" width="12.0"/>
    <col customWidth="1" min="5" max="5" width="18.75"/>
    <col customWidth="1" min="6" max="6" width="3.38"/>
  </cols>
  <sheetData>
    <row r="1">
      <c r="A1" s="18" t="s">
        <v>17</v>
      </c>
      <c r="B1" s="19"/>
      <c r="C1" s="19"/>
      <c r="D1" s="19"/>
      <c r="E1" s="19"/>
      <c r="F1" s="19"/>
    </row>
    <row r="3">
      <c r="A3" s="7" t="s">
        <v>18</v>
      </c>
      <c r="C3" s="20" t="s">
        <v>19</v>
      </c>
      <c r="D3" s="20" t="s">
        <v>20</v>
      </c>
      <c r="E3" s="7" t="s">
        <v>21</v>
      </c>
      <c r="G3" s="21" t="s">
        <v>22</v>
      </c>
    </row>
    <row r="4">
      <c r="A4" s="22">
        <f>today()</f>
        <v>46189</v>
      </c>
      <c r="B4" s="23" t="str">
        <f t="shared" ref="B4:B7" si="2">FORMULATEXT(A4)</f>
        <v>=today()</v>
      </c>
      <c r="C4" s="22">
        <f t="shared" ref="C4:D4" si="1">today()</f>
        <v>46189</v>
      </c>
      <c r="D4" s="22">
        <f t="shared" si="1"/>
        <v>46189</v>
      </c>
      <c r="G4" s="20">
        <v>1.0</v>
      </c>
    </row>
    <row r="5">
      <c r="A5" s="24">
        <f>now()</f>
        <v>46189.90341</v>
      </c>
      <c r="B5" s="23" t="str">
        <f t="shared" si="2"/>
        <v>=now()</v>
      </c>
      <c r="C5" s="22">
        <f t="shared" ref="C5:C11" si="3">today()</f>
        <v>46189</v>
      </c>
      <c r="D5" s="22">
        <f t="shared" ref="D5:D11" si="4">$D$4</f>
        <v>46189</v>
      </c>
      <c r="E5" s="23">
        <f>sum(G4:G13)</f>
        <v>55</v>
      </c>
      <c r="G5" s="20">
        <v>2.0</v>
      </c>
    </row>
    <row r="6">
      <c r="A6" s="23">
        <f>rand()</f>
        <v>0.6998460951</v>
      </c>
      <c r="B6" s="23" t="str">
        <f t="shared" si="2"/>
        <v>=rand()</v>
      </c>
      <c r="C6" s="22">
        <f t="shared" si="3"/>
        <v>46189</v>
      </c>
      <c r="D6" s="22">
        <f t="shared" si="4"/>
        <v>46189</v>
      </c>
      <c r="E6" s="23">
        <f>sum(G:G)</f>
        <v>55</v>
      </c>
      <c r="G6" s="20">
        <v>3.0</v>
      </c>
    </row>
    <row r="7">
      <c r="A7" s="23">
        <f>RANDBETWEEN(1,30)</f>
        <v>21</v>
      </c>
      <c r="B7" s="23" t="str">
        <f t="shared" si="2"/>
        <v>=RANDBETWEEN(1,30)</v>
      </c>
      <c r="C7" s="22">
        <f t="shared" si="3"/>
        <v>46189</v>
      </c>
      <c r="D7" s="22">
        <f t="shared" si="4"/>
        <v>46189</v>
      </c>
      <c r="E7" s="23">
        <f>sum(G4:G1000)</f>
        <v>55</v>
      </c>
      <c r="G7" s="20">
        <v>4.0</v>
      </c>
    </row>
    <row r="8">
      <c r="C8" s="22">
        <f t="shared" si="3"/>
        <v>46189</v>
      </c>
      <c r="D8" s="22">
        <f t="shared" si="4"/>
        <v>46189</v>
      </c>
      <c r="E8" s="23">
        <f>sum(G4:G19)</f>
        <v>55</v>
      </c>
      <c r="G8" s="20">
        <v>5.0</v>
      </c>
    </row>
    <row r="9">
      <c r="A9" s="7" t="s">
        <v>23</v>
      </c>
      <c r="C9" s="22">
        <f t="shared" si="3"/>
        <v>46189</v>
      </c>
      <c r="D9" s="22">
        <f t="shared" si="4"/>
        <v>46189</v>
      </c>
      <c r="G9" s="20">
        <v>6.0</v>
      </c>
    </row>
    <row r="10">
      <c r="C10" s="22">
        <f t="shared" si="3"/>
        <v>46189</v>
      </c>
      <c r="D10" s="22">
        <f t="shared" si="4"/>
        <v>46189</v>
      </c>
      <c r="G10" s="20">
        <v>7.0</v>
      </c>
    </row>
    <row r="11">
      <c r="A11" s="23">
        <f>RANDBETWEEN(2,10)</f>
        <v>9</v>
      </c>
      <c r="C11" s="22">
        <f t="shared" si="3"/>
        <v>46189</v>
      </c>
      <c r="D11" s="22">
        <f t="shared" si="4"/>
        <v>46189</v>
      </c>
      <c r="G11" s="20">
        <v>8.0</v>
      </c>
    </row>
    <row r="12">
      <c r="G12" s="20">
        <v>9.0</v>
      </c>
    </row>
    <row r="13">
      <c r="A13" s="7" t="s">
        <v>24</v>
      </c>
      <c r="G13" s="20">
        <v>10.0</v>
      </c>
    </row>
    <row r="15">
      <c r="A15" s="23" t="str">
        <f>A7&amp; " - " &amp; A9</f>
        <v>21 - Respect the Function Signature</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5F4"/>
    <outlinePr summaryBelow="0" summaryRight="0"/>
  </sheetPr>
  <sheetViews>
    <sheetView workbookViewId="0"/>
  </sheetViews>
  <sheetFormatPr customHeight="1" defaultColWidth="12.63" defaultRowHeight="15.75"/>
  <cols>
    <col customWidth="1" min="1" max="1" width="14.38"/>
    <col customWidth="1" min="2" max="2" width="10.38"/>
    <col customWidth="1" min="3" max="3" width="20.0"/>
    <col customWidth="1" min="4" max="4" width="6.75"/>
    <col customWidth="1" min="5" max="5" width="6.0"/>
    <col customWidth="1" min="6" max="6" width="13.5"/>
    <col customWidth="1" min="7" max="7" width="1.88"/>
    <col customWidth="1" min="9" max="9" width="21.88"/>
    <col customWidth="1" min="10" max="10" width="1.88"/>
    <col customWidth="1" min="13" max="13" width="20.0"/>
    <col customWidth="1" min="15" max="15" width="2.13"/>
    <col customWidth="1" min="16" max="16" width="13.88"/>
  </cols>
  <sheetData>
    <row r="1">
      <c r="A1" s="18" t="s">
        <v>25</v>
      </c>
      <c r="B1" s="19"/>
      <c r="C1" s="19"/>
      <c r="D1" s="19"/>
      <c r="G1" s="25"/>
      <c r="J1" s="25"/>
      <c r="O1" s="25"/>
    </row>
    <row r="2">
      <c r="A2" s="20" t="s">
        <v>26</v>
      </c>
      <c r="G2" s="25"/>
      <c r="J2" s="25"/>
      <c r="K2" s="20" t="s">
        <v>27</v>
      </c>
      <c r="O2" s="25"/>
    </row>
    <row r="3">
      <c r="F3" s="26" t="s">
        <v>28</v>
      </c>
      <c r="G3" s="25"/>
      <c r="H3" s="27" t="s">
        <v>29</v>
      </c>
      <c r="J3" s="25"/>
      <c r="O3" s="25"/>
      <c r="P3" s="28" t="s">
        <v>30</v>
      </c>
      <c r="R3" s="7"/>
    </row>
    <row r="4">
      <c r="A4" s="29" t="s">
        <v>31</v>
      </c>
      <c r="B4" s="30" t="s">
        <v>32</v>
      </c>
      <c r="C4" s="30" t="s">
        <v>33</v>
      </c>
      <c r="D4" s="30" t="s">
        <v>34</v>
      </c>
      <c r="F4" s="31"/>
      <c r="G4" s="25"/>
      <c r="H4" s="31"/>
      <c r="I4" s="31"/>
      <c r="J4" s="25"/>
      <c r="K4" s="32" t="s">
        <v>31</v>
      </c>
      <c r="L4" s="32" t="s">
        <v>32</v>
      </c>
      <c r="M4" s="32" t="s">
        <v>33</v>
      </c>
      <c r="N4" s="32" t="s">
        <v>34</v>
      </c>
      <c r="O4" s="25"/>
      <c r="P4" s="31"/>
    </row>
    <row r="5">
      <c r="A5" s="33" t="s">
        <v>35</v>
      </c>
      <c r="B5" s="34" t="s">
        <v>36</v>
      </c>
      <c r="C5" s="34" t="s">
        <v>37</v>
      </c>
      <c r="D5" s="35">
        <v>25709.0</v>
      </c>
      <c r="F5" s="36" t="str">
        <f t="array" ref="F5:F9">UNIQUE(B5:B1000)</f>
        <v>Sales</v>
      </c>
      <c r="G5" s="25"/>
      <c r="H5" s="36" t="str">
        <f t="array" ref="H5:I33">SORT(UNIQUE(B5:C50))</f>
        <v>Finance</v>
      </c>
      <c r="I5" s="23" t="s">
        <v>38</v>
      </c>
      <c r="J5" s="25"/>
      <c r="K5" s="36" t="str">
        <f t="array" ref="K5:N50">SORT(A5:D50,4,false)</f>
        <v>Crystal Doyle</v>
      </c>
      <c r="L5" s="23" t="s">
        <v>39</v>
      </c>
      <c r="M5" s="23" t="s">
        <v>40</v>
      </c>
      <c r="N5" s="37">
        <v>145000.0</v>
      </c>
      <c r="O5" s="25"/>
      <c r="P5" s="36" t="str">
        <f t="array" ref="P5:P50">SORT(A5:A50,D5:D50,false)</f>
        <v>Crystal Doyle</v>
      </c>
    </row>
    <row r="6">
      <c r="A6" s="38" t="s">
        <v>41</v>
      </c>
      <c r="B6" s="39" t="s">
        <v>42</v>
      </c>
      <c r="C6" s="34" t="s">
        <v>43</v>
      </c>
      <c r="D6" s="35">
        <v>25600.0</v>
      </c>
      <c r="F6" s="23" t="s">
        <v>42</v>
      </c>
      <c r="G6" s="25"/>
      <c r="H6" s="23" t="s">
        <v>39</v>
      </c>
      <c r="I6" s="23" t="s">
        <v>43</v>
      </c>
      <c r="J6" s="25"/>
      <c r="K6" s="23" t="s">
        <v>44</v>
      </c>
      <c r="L6" s="23" t="s">
        <v>45</v>
      </c>
      <c r="M6" s="23" t="s">
        <v>46</v>
      </c>
      <c r="N6" s="37">
        <v>142000.0</v>
      </c>
      <c r="O6" s="25"/>
      <c r="P6" s="23" t="s">
        <v>44</v>
      </c>
    </row>
    <row r="7">
      <c r="A7" s="38" t="s">
        <v>47</v>
      </c>
      <c r="B7" s="39" t="s">
        <v>45</v>
      </c>
      <c r="C7" s="34" t="s">
        <v>37</v>
      </c>
      <c r="D7" s="35">
        <v>23500.0</v>
      </c>
      <c r="F7" s="23" t="s">
        <v>45</v>
      </c>
      <c r="G7" s="25"/>
      <c r="H7" s="23" t="s">
        <v>39</v>
      </c>
      <c r="I7" s="23" t="s">
        <v>48</v>
      </c>
      <c r="J7" s="25"/>
      <c r="K7" s="23" t="s">
        <v>49</v>
      </c>
      <c r="L7" s="23" t="s">
        <v>36</v>
      </c>
      <c r="M7" s="23" t="s">
        <v>50</v>
      </c>
      <c r="N7" s="37">
        <v>141200.0</v>
      </c>
      <c r="O7" s="25"/>
      <c r="P7" s="23" t="s">
        <v>49</v>
      </c>
    </row>
    <row r="8">
      <c r="A8" s="38" t="s">
        <v>51</v>
      </c>
      <c r="B8" s="39" t="s">
        <v>36</v>
      </c>
      <c r="C8" s="34" t="s">
        <v>37</v>
      </c>
      <c r="D8" s="35">
        <v>26500.0</v>
      </c>
      <c r="F8" s="23" t="s">
        <v>39</v>
      </c>
      <c r="G8" s="25"/>
      <c r="H8" s="23" t="s">
        <v>39</v>
      </c>
      <c r="I8" s="23" t="s">
        <v>40</v>
      </c>
      <c r="J8" s="25"/>
      <c r="K8" s="23" t="s">
        <v>52</v>
      </c>
      <c r="L8" s="23" t="s">
        <v>36</v>
      </c>
      <c r="M8" s="23" t="s">
        <v>53</v>
      </c>
      <c r="N8" s="37">
        <v>125600.0</v>
      </c>
      <c r="O8" s="25"/>
      <c r="P8" s="23" t="s">
        <v>52</v>
      </c>
    </row>
    <row r="9">
      <c r="A9" s="38" t="s">
        <v>54</v>
      </c>
      <c r="B9" s="39" t="s">
        <v>39</v>
      </c>
      <c r="C9" s="39" t="s">
        <v>38</v>
      </c>
      <c r="D9" s="35">
        <v>24700.0</v>
      </c>
      <c r="F9" s="23"/>
      <c r="G9" s="25"/>
      <c r="H9" s="23" t="s">
        <v>39</v>
      </c>
      <c r="I9" s="23" t="s">
        <v>55</v>
      </c>
      <c r="J9" s="25"/>
      <c r="K9" s="23" t="s">
        <v>56</v>
      </c>
      <c r="L9" s="23" t="s">
        <v>36</v>
      </c>
      <c r="M9" s="23" t="s">
        <v>57</v>
      </c>
      <c r="N9" s="37">
        <v>115000.0</v>
      </c>
      <c r="O9" s="25"/>
      <c r="P9" s="23" t="s">
        <v>56</v>
      </c>
    </row>
    <row r="10">
      <c r="A10" s="38" t="s">
        <v>58</v>
      </c>
      <c r="B10" s="39" t="s">
        <v>45</v>
      </c>
      <c r="C10" s="39" t="s">
        <v>59</v>
      </c>
      <c r="D10" s="35">
        <v>26500.0</v>
      </c>
      <c r="G10" s="25"/>
      <c r="H10" s="23" t="s">
        <v>39</v>
      </c>
      <c r="I10" s="23" t="s">
        <v>60</v>
      </c>
      <c r="J10" s="25"/>
      <c r="K10" s="23" t="s">
        <v>61</v>
      </c>
      <c r="L10" s="23" t="s">
        <v>39</v>
      </c>
      <c r="M10" s="23" t="s">
        <v>55</v>
      </c>
      <c r="N10" s="37">
        <v>108357.0</v>
      </c>
      <c r="O10" s="25"/>
      <c r="P10" s="23" t="s">
        <v>61</v>
      </c>
    </row>
    <row r="11">
      <c r="A11" s="38" t="s">
        <v>62</v>
      </c>
      <c r="B11" s="39" t="s">
        <v>42</v>
      </c>
      <c r="C11" s="34" t="s">
        <v>37</v>
      </c>
      <c r="D11" s="35">
        <v>30600.0</v>
      </c>
      <c r="G11" s="25"/>
      <c r="H11" s="23" t="s">
        <v>39</v>
      </c>
      <c r="I11" s="23" t="s">
        <v>63</v>
      </c>
      <c r="J11" s="25"/>
      <c r="K11" s="23" t="s">
        <v>64</v>
      </c>
      <c r="L11" s="23" t="s">
        <v>45</v>
      </c>
      <c r="M11" s="23" t="s">
        <v>65</v>
      </c>
      <c r="N11" s="37">
        <v>102500.0</v>
      </c>
      <c r="O11" s="25"/>
      <c r="P11" s="23" t="s">
        <v>64</v>
      </c>
    </row>
    <row r="12">
      <c r="A12" s="38" t="s">
        <v>66</v>
      </c>
      <c r="B12" s="39" t="s">
        <v>45</v>
      </c>
      <c r="C12" s="39" t="s">
        <v>59</v>
      </c>
      <c r="D12" s="35">
        <v>28400.0</v>
      </c>
      <c r="G12" s="25"/>
      <c r="H12" s="23" t="s">
        <v>42</v>
      </c>
      <c r="I12" s="23" t="s">
        <v>43</v>
      </c>
      <c r="J12" s="25"/>
      <c r="K12" s="23" t="s">
        <v>67</v>
      </c>
      <c r="L12" s="23" t="s">
        <v>39</v>
      </c>
      <c r="M12" s="23" t="s">
        <v>63</v>
      </c>
      <c r="N12" s="37">
        <v>86500.0</v>
      </c>
      <c r="O12" s="25"/>
      <c r="P12" s="23" t="s">
        <v>67</v>
      </c>
    </row>
    <row r="13">
      <c r="A13" s="38" t="s">
        <v>68</v>
      </c>
      <c r="B13" s="39" t="s">
        <v>36</v>
      </c>
      <c r="C13" s="39" t="s">
        <v>69</v>
      </c>
      <c r="D13" s="35">
        <v>32800.0</v>
      </c>
      <c r="G13" s="25"/>
      <c r="H13" s="23" t="s">
        <v>42</v>
      </c>
      <c r="I13" s="23" t="s">
        <v>37</v>
      </c>
      <c r="J13" s="25"/>
      <c r="K13" s="23" t="s">
        <v>70</v>
      </c>
      <c r="L13" s="23" t="s">
        <v>45</v>
      </c>
      <c r="M13" s="23" t="s">
        <v>65</v>
      </c>
      <c r="N13" s="37">
        <v>86055.0</v>
      </c>
      <c r="O13" s="25"/>
      <c r="P13" s="23" t="s">
        <v>70</v>
      </c>
    </row>
    <row r="14">
      <c r="A14" s="38" t="s">
        <v>71</v>
      </c>
      <c r="B14" s="39" t="s">
        <v>36</v>
      </c>
      <c r="C14" s="39" t="s">
        <v>69</v>
      </c>
      <c r="D14" s="35">
        <v>25900.0</v>
      </c>
      <c r="G14" s="25"/>
      <c r="H14" s="23" t="s">
        <v>42</v>
      </c>
      <c r="I14" s="23" t="s">
        <v>72</v>
      </c>
      <c r="J14" s="25"/>
      <c r="K14" s="23" t="s">
        <v>73</v>
      </c>
      <c r="L14" s="23" t="s">
        <v>42</v>
      </c>
      <c r="M14" s="23" t="s">
        <v>74</v>
      </c>
      <c r="N14" s="37">
        <v>79600.0</v>
      </c>
      <c r="O14" s="25"/>
      <c r="P14" s="23" t="s">
        <v>73</v>
      </c>
    </row>
    <row r="15">
      <c r="A15" s="38" t="s">
        <v>75</v>
      </c>
      <c r="B15" s="39" t="s">
        <v>39</v>
      </c>
      <c r="C15" s="39" t="s">
        <v>38</v>
      </c>
      <c r="D15" s="35">
        <v>26900.0</v>
      </c>
      <c r="G15" s="25"/>
      <c r="H15" s="23" t="s">
        <v>42</v>
      </c>
      <c r="I15" s="23" t="s">
        <v>76</v>
      </c>
      <c r="J15" s="25"/>
      <c r="K15" s="23" t="s">
        <v>77</v>
      </c>
      <c r="L15" s="23" t="s">
        <v>39</v>
      </c>
      <c r="M15" s="23" t="s">
        <v>60</v>
      </c>
      <c r="N15" s="37">
        <v>78600.0</v>
      </c>
      <c r="O15" s="25"/>
      <c r="P15" s="23" t="s">
        <v>77</v>
      </c>
    </row>
    <row r="16">
      <c r="A16" s="38" t="s">
        <v>78</v>
      </c>
      <c r="B16" s="39" t="s">
        <v>39</v>
      </c>
      <c r="C16" s="39" t="s">
        <v>38</v>
      </c>
      <c r="D16" s="35">
        <v>47200.0</v>
      </c>
      <c r="G16" s="25"/>
      <c r="H16" s="23" t="s">
        <v>42</v>
      </c>
      <c r="I16" s="23" t="s">
        <v>74</v>
      </c>
      <c r="J16" s="25"/>
      <c r="K16" s="23" t="s">
        <v>79</v>
      </c>
      <c r="L16" s="23" t="s">
        <v>39</v>
      </c>
      <c r="M16" s="23" t="s">
        <v>48</v>
      </c>
      <c r="N16" s="37">
        <v>65270.0</v>
      </c>
      <c r="O16" s="25"/>
      <c r="P16" s="23" t="s">
        <v>79</v>
      </c>
    </row>
    <row r="17">
      <c r="A17" s="38" t="s">
        <v>80</v>
      </c>
      <c r="B17" s="39" t="s">
        <v>39</v>
      </c>
      <c r="C17" s="34" t="s">
        <v>43</v>
      </c>
      <c r="D17" s="35">
        <v>29800.0</v>
      </c>
      <c r="G17" s="25"/>
      <c r="H17" s="23" t="s">
        <v>42</v>
      </c>
      <c r="I17" s="23" t="s">
        <v>81</v>
      </c>
      <c r="J17" s="25"/>
      <c r="K17" s="23" t="s">
        <v>82</v>
      </c>
      <c r="L17" s="23" t="s">
        <v>45</v>
      </c>
      <c r="M17" s="23" t="s">
        <v>83</v>
      </c>
      <c r="N17" s="37">
        <v>65200.0</v>
      </c>
      <c r="O17" s="25"/>
      <c r="P17" s="23" t="s">
        <v>82</v>
      </c>
    </row>
    <row r="18">
      <c r="A18" s="38" t="s">
        <v>84</v>
      </c>
      <c r="B18" s="39" t="s">
        <v>42</v>
      </c>
      <c r="C18" s="39" t="s">
        <v>81</v>
      </c>
      <c r="D18" s="35">
        <v>31200.0</v>
      </c>
      <c r="G18" s="25"/>
      <c r="H18" s="23" t="s">
        <v>42</v>
      </c>
      <c r="I18" s="23" t="s">
        <v>85</v>
      </c>
      <c r="J18" s="25"/>
      <c r="K18" s="23" t="s">
        <v>86</v>
      </c>
      <c r="L18" s="23" t="s">
        <v>45</v>
      </c>
      <c r="M18" s="23" t="s">
        <v>83</v>
      </c>
      <c r="N18" s="37">
        <v>59900.0</v>
      </c>
      <c r="O18" s="25"/>
      <c r="P18" s="23" t="s">
        <v>86</v>
      </c>
    </row>
    <row r="19">
      <c r="A19" s="38" t="s">
        <v>87</v>
      </c>
      <c r="B19" s="39" t="s">
        <v>42</v>
      </c>
      <c r="C19" s="39" t="s">
        <v>76</v>
      </c>
      <c r="D19" s="35">
        <v>49500.0</v>
      </c>
      <c r="G19" s="25"/>
      <c r="H19" s="23" t="s">
        <v>45</v>
      </c>
      <c r="I19" s="23" t="s">
        <v>37</v>
      </c>
      <c r="J19" s="25"/>
      <c r="K19" s="23" t="s">
        <v>88</v>
      </c>
      <c r="L19" s="23" t="s">
        <v>42</v>
      </c>
      <c r="M19" s="23" t="s">
        <v>72</v>
      </c>
      <c r="N19" s="37">
        <v>58300.0</v>
      </c>
      <c r="O19" s="25"/>
      <c r="P19" s="23" t="s">
        <v>88</v>
      </c>
    </row>
    <row r="20">
      <c r="A20" s="38" t="s">
        <v>88</v>
      </c>
      <c r="B20" s="39" t="s">
        <v>42</v>
      </c>
      <c r="C20" s="39" t="s">
        <v>72</v>
      </c>
      <c r="D20" s="35">
        <v>58300.0</v>
      </c>
      <c r="G20" s="25"/>
      <c r="H20" s="23" t="s">
        <v>45</v>
      </c>
      <c r="I20" s="23" t="s">
        <v>59</v>
      </c>
      <c r="J20" s="25"/>
      <c r="K20" s="23" t="s">
        <v>89</v>
      </c>
      <c r="L20" s="23" t="s">
        <v>42</v>
      </c>
      <c r="M20" s="23" t="s">
        <v>85</v>
      </c>
      <c r="N20" s="37">
        <v>56500.0</v>
      </c>
      <c r="O20" s="25"/>
      <c r="P20" s="23" t="s">
        <v>89</v>
      </c>
    </row>
    <row r="21">
      <c r="A21" s="38" t="s">
        <v>90</v>
      </c>
      <c r="B21" s="39" t="s">
        <v>42</v>
      </c>
      <c r="C21" s="39" t="s">
        <v>72</v>
      </c>
      <c r="D21" s="35">
        <v>36400.0</v>
      </c>
      <c r="G21" s="25"/>
      <c r="H21" s="23" t="s">
        <v>45</v>
      </c>
      <c r="I21" s="23" t="s">
        <v>65</v>
      </c>
      <c r="J21" s="25"/>
      <c r="K21" s="23" t="s">
        <v>91</v>
      </c>
      <c r="L21" s="23" t="s">
        <v>45</v>
      </c>
      <c r="M21" s="23" t="s">
        <v>59</v>
      </c>
      <c r="N21" s="37">
        <v>54600.0</v>
      </c>
      <c r="O21" s="25"/>
      <c r="P21" s="23" t="s">
        <v>91</v>
      </c>
    </row>
    <row r="22">
      <c r="A22" s="38" t="s">
        <v>92</v>
      </c>
      <c r="B22" s="39" t="s">
        <v>36</v>
      </c>
      <c r="C22" s="34" t="s">
        <v>43</v>
      </c>
      <c r="D22" s="35">
        <v>38500.0</v>
      </c>
      <c r="G22" s="25"/>
      <c r="H22" s="23" t="s">
        <v>45</v>
      </c>
      <c r="I22" s="23" t="s">
        <v>83</v>
      </c>
      <c r="J22" s="25"/>
      <c r="K22" s="23" t="s">
        <v>93</v>
      </c>
      <c r="L22" s="23" t="s">
        <v>36</v>
      </c>
      <c r="M22" s="23" t="s">
        <v>94</v>
      </c>
      <c r="N22" s="37">
        <v>52100.0</v>
      </c>
      <c r="O22" s="25"/>
      <c r="P22" s="23" t="s">
        <v>93</v>
      </c>
    </row>
    <row r="23">
      <c r="A23" s="38" t="s">
        <v>95</v>
      </c>
      <c r="B23" s="39" t="s">
        <v>36</v>
      </c>
      <c r="C23" s="39" t="s">
        <v>96</v>
      </c>
      <c r="D23" s="35">
        <v>39400.0</v>
      </c>
      <c r="G23" s="25"/>
      <c r="H23" s="23" t="s">
        <v>45</v>
      </c>
      <c r="I23" s="23" t="s">
        <v>46</v>
      </c>
      <c r="J23" s="25"/>
      <c r="K23" s="23" t="s">
        <v>97</v>
      </c>
      <c r="L23" s="23" t="s">
        <v>45</v>
      </c>
      <c r="M23" s="23" t="s">
        <v>59</v>
      </c>
      <c r="N23" s="37">
        <v>51300.0</v>
      </c>
      <c r="O23" s="25"/>
      <c r="P23" s="23" t="s">
        <v>97</v>
      </c>
    </row>
    <row r="24">
      <c r="A24" s="38" t="s">
        <v>98</v>
      </c>
      <c r="B24" s="39" t="s">
        <v>36</v>
      </c>
      <c r="C24" s="34" t="s">
        <v>43</v>
      </c>
      <c r="D24" s="35">
        <v>42500.0</v>
      </c>
      <c r="G24" s="25"/>
      <c r="H24" s="23" t="s">
        <v>36</v>
      </c>
      <c r="I24" s="23" t="s">
        <v>43</v>
      </c>
      <c r="J24" s="25"/>
      <c r="K24" s="23" t="s">
        <v>99</v>
      </c>
      <c r="L24" s="23" t="s">
        <v>39</v>
      </c>
      <c r="M24" s="23" t="s">
        <v>43</v>
      </c>
      <c r="N24" s="37">
        <v>49727.0</v>
      </c>
      <c r="O24" s="25"/>
      <c r="P24" s="23" t="s">
        <v>99</v>
      </c>
    </row>
    <row r="25">
      <c r="A25" s="38" t="s">
        <v>99</v>
      </c>
      <c r="B25" s="39" t="s">
        <v>39</v>
      </c>
      <c r="C25" s="34" t="s">
        <v>43</v>
      </c>
      <c r="D25" s="35">
        <v>49727.0</v>
      </c>
      <c r="G25" s="25"/>
      <c r="H25" s="23" t="s">
        <v>36</v>
      </c>
      <c r="I25" s="23" t="s">
        <v>37</v>
      </c>
      <c r="J25" s="25"/>
      <c r="K25" s="23" t="s">
        <v>87</v>
      </c>
      <c r="L25" s="23" t="s">
        <v>42</v>
      </c>
      <c r="M25" s="23" t="s">
        <v>76</v>
      </c>
      <c r="N25" s="37">
        <v>49500.0</v>
      </c>
      <c r="O25" s="25"/>
      <c r="P25" s="23" t="s">
        <v>87</v>
      </c>
    </row>
    <row r="26">
      <c r="A26" s="38" t="s">
        <v>100</v>
      </c>
      <c r="B26" s="39" t="s">
        <v>39</v>
      </c>
      <c r="C26" s="34" t="s">
        <v>43</v>
      </c>
      <c r="D26" s="35">
        <v>49000.0</v>
      </c>
      <c r="G26" s="25"/>
      <c r="H26" s="23" t="s">
        <v>36</v>
      </c>
      <c r="I26" s="23" t="s">
        <v>50</v>
      </c>
      <c r="J26" s="25"/>
      <c r="K26" s="23" t="s">
        <v>100</v>
      </c>
      <c r="L26" s="23" t="s">
        <v>39</v>
      </c>
      <c r="M26" s="23" t="s">
        <v>43</v>
      </c>
      <c r="N26" s="37">
        <v>49000.0</v>
      </c>
      <c r="O26" s="25"/>
      <c r="P26" s="23" t="s">
        <v>100</v>
      </c>
    </row>
    <row r="27">
      <c r="A27" s="38" t="s">
        <v>73</v>
      </c>
      <c r="B27" s="39" t="s">
        <v>42</v>
      </c>
      <c r="C27" s="39" t="s">
        <v>74</v>
      </c>
      <c r="D27" s="35">
        <v>79600.0</v>
      </c>
      <c r="G27" s="25"/>
      <c r="H27" s="23" t="s">
        <v>36</v>
      </c>
      <c r="I27" s="23" t="s">
        <v>53</v>
      </c>
      <c r="J27" s="25"/>
      <c r="K27" s="23" t="s">
        <v>101</v>
      </c>
      <c r="L27" s="23" t="s">
        <v>45</v>
      </c>
      <c r="M27" s="23" t="s">
        <v>59</v>
      </c>
      <c r="N27" s="37">
        <v>48500.0</v>
      </c>
      <c r="O27" s="25"/>
      <c r="P27" s="23" t="s">
        <v>101</v>
      </c>
    </row>
    <row r="28">
      <c r="A28" s="38" t="s">
        <v>89</v>
      </c>
      <c r="B28" s="39" t="s">
        <v>42</v>
      </c>
      <c r="C28" s="39" t="s">
        <v>85</v>
      </c>
      <c r="D28" s="35">
        <v>56500.0</v>
      </c>
      <c r="G28" s="25"/>
      <c r="H28" s="23" t="s">
        <v>36</v>
      </c>
      <c r="I28" s="23" t="s">
        <v>94</v>
      </c>
      <c r="J28" s="25"/>
      <c r="K28" s="23" t="s">
        <v>78</v>
      </c>
      <c r="L28" s="23" t="s">
        <v>39</v>
      </c>
      <c r="M28" s="23" t="s">
        <v>38</v>
      </c>
      <c r="N28" s="37">
        <v>47200.0</v>
      </c>
      <c r="O28" s="25"/>
      <c r="P28" s="23" t="s">
        <v>78</v>
      </c>
    </row>
    <row r="29">
      <c r="A29" s="38" t="s">
        <v>86</v>
      </c>
      <c r="B29" s="39" t="s">
        <v>45</v>
      </c>
      <c r="C29" s="39" t="s">
        <v>83</v>
      </c>
      <c r="D29" s="35">
        <v>59900.0</v>
      </c>
      <c r="G29" s="25"/>
      <c r="H29" s="23" t="s">
        <v>36</v>
      </c>
      <c r="I29" s="23" t="s">
        <v>102</v>
      </c>
      <c r="J29" s="25"/>
      <c r="K29" s="23" t="s">
        <v>98</v>
      </c>
      <c r="L29" s="23" t="s">
        <v>36</v>
      </c>
      <c r="M29" s="23" t="s">
        <v>43</v>
      </c>
      <c r="N29" s="37">
        <v>42500.0</v>
      </c>
      <c r="O29" s="25"/>
      <c r="P29" s="23" t="s">
        <v>98</v>
      </c>
    </row>
    <row r="30">
      <c r="A30" s="38" t="s">
        <v>101</v>
      </c>
      <c r="B30" s="39" t="s">
        <v>45</v>
      </c>
      <c r="C30" s="39" t="s">
        <v>59</v>
      </c>
      <c r="D30" s="35">
        <v>48500.0</v>
      </c>
      <c r="G30" s="25"/>
      <c r="H30" s="23" t="s">
        <v>36</v>
      </c>
      <c r="I30" s="23" t="s">
        <v>96</v>
      </c>
      <c r="J30" s="25"/>
      <c r="K30" s="23" t="s">
        <v>103</v>
      </c>
      <c r="L30" s="23" t="s">
        <v>36</v>
      </c>
      <c r="M30" s="23" t="s">
        <v>102</v>
      </c>
      <c r="N30" s="37">
        <v>41200.0</v>
      </c>
      <c r="O30" s="25"/>
      <c r="P30" s="23" t="s">
        <v>103</v>
      </c>
    </row>
    <row r="31">
      <c r="A31" s="38" t="s">
        <v>103</v>
      </c>
      <c r="B31" s="39" t="s">
        <v>36</v>
      </c>
      <c r="C31" s="39" t="s">
        <v>102</v>
      </c>
      <c r="D31" s="35">
        <v>41200.0</v>
      </c>
      <c r="G31" s="25"/>
      <c r="H31" s="23" t="s">
        <v>36</v>
      </c>
      <c r="I31" s="23" t="s">
        <v>57</v>
      </c>
      <c r="J31" s="25"/>
      <c r="K31" s="23" t="s">
        <v>95</v>
      </c>
      <c r="L31" s="23" t="s">
        <v>36</v>
      </c>
      <c r="M31" s="23" t="s">
        <v>96</v>
      </c>
      <c r="N31" s="37">
        <v>39400.0</v>
      </c>
      <c r="O31" s="25"/>
      <c r="P31" s="23" t="s">
        <v>95</v>
      </c>
    </row>
    <row r="32">
      <c r="A32" s="38" t="s">
        <v>93</v>
      </c>
      <c r="B32" s="39" t="s">
        <v>36</v>
      </c>
      <c r="C32" s="39" t="s">
        <v>94</v>
      </c>
      <c r="D32" s="35">
        <v>52100.0</v>
      </c>
      <c r="G32" s="25"/>
      <c r="H32" s="23" t="s">
        <v>36</v>
      </c>
      <c r="I32" s="23" t="s">
        <v>69</v>
      </c>
      <c r="J32" s="25"/>
      <c r="K32" s="23" t="s">
        <v>92</v>
      </c>
      <c r="L32" s="23" t="s">
        <v>36</v>
      </c>
      <c r="M32" s="23" t="s">
        <v>43</v>
      </c>
      <c r="N32" s="37">
        <v>38500.0</v>
      </c>
      <c r="O32" s="25"/>
      <c r="P32" s="23" t="s">
        <v>92</v>
      </c>
    </row>
    <row r="33">
      <c r="A33" s="38" t="s">
        <v>82</v>
      </c>
      <c r="B33" s="39" t="s">
        <v>45</v>
      </c>
      <c r="C33" s="39" t="s">
        <v>83</v>
      </c>
      <c r="D33" s="35">
        <v>65200.0</v>
      </c>
      <c r="H33" s="23"/>
      <c r="I33" s="23"/>
      <c r="K33" s="23" t="s">
        <v>90</v>
      </c>
      <c r="L33" s="23" t="s">
        <v>42</v>
      </c>
      <c r="M33" s="23" t="s">
        <v>72</v>
      </c>
      <c r="N33" s="37">
        <v>36400.0</v>
      </c>
      <c r="P33" s="23" t="s">
        <v>90</v>
      </c>
    </row>
    <row r="34">
      <c r="A34" s="38" t="s">
        <v>91</v>
      </c>
      <c r="B34" s="39" t="s">
        <v>45</v>
      </c>
      <c r="C34" s="39" t="s">
        <v>59</v>
      </c>
      <c r="D34" s="35">
        <v>54600.0</v>
      </c>
      <c r="K34" s="23" t="s">
        <v>68</v>
      </c>
      <c r="L34" s="23" t="s">
        <v>36</v>
      </c>
      <c r="M34" s="23" t="s">
        <v>69</v>
      </c>
      <c r="N34" s="37">
        <v>32800.0</v>
      </c>
      <c r="P34" s="23" t="s">
        <v>68</v>
      </c>
    </row>
    <row r="35">
      <c r="A35" s="38" t="s">
        <v>97</v>
      </c>
      <c r="B35" s="39" t="s">
        <v>45</v>
      </c>
      <c r="C35" s="39" t="s">
        <v>59</v>
      </c>
      <c r="D35" s="35">
        <v>51300.0</v>
      </c>
      <c r="K35" s="23" t="s">
        <v>84</v>
      </c>
      <c r="L35" s="23" t="s">
        <v>42</v>
      </c>
      <c r="M35" s="23" t="s">
        <v>81</v>
      </c>
      <c r="N35" s="37">
        <v>31200.0</v>
      </c>
      <c r="P35" s="23" t="s">
        <v>84</v>
      </c>
    </row>
    <row r="36">
      <c r="A36" s="38" t="s">
        <v>64</v>
      </c>
      <c r="B36" s="39" t="s">
        <v>45</v>
      </c>
      <c r="C36" s="39" t="s">
        <v>65</v>
      </c>
      <c r="D36" s="35">
        <v>102500.0</v>
      </c>
      <c r="K36" s="23" t="s">
        <v>62</v>
      </c>
      <c r="L36" s="23" t="s">
        <v>42</v>
      </c>
      <c r="M36" s="23" t="s">
        <v>37</v>
      </c>
      <c r="N36" s="37">
        <v>30600.0</v>
      </c>
      <c r="P36" s="23" t="s">
        <v>62</v>
      </c>
    </row>
    <row r="37">
      <c r="A37" s="38" t="s">
        <v>79</v>
      </c>
      <c r="B37" s="39" t="s">
        <v>39</v>
      </c>
      <c r="C37" s="39" t="s">
        <v>48</v>
      </c>
      <c r="D37" s="35">
        <v>65270.0</v>
      </c>
      <c r="K37" s="23" t="s">
        <v>80</v>
      </c>
      <c r="L37" s="23" t="s">
        <v>39</v>
      </c>
      <c r="M37" s="23" t="s">
        <v>43</v>
      </c>
      <c r="N37" s="37">
        <v>29800.0</v>
      </c>
      <c r="P37" s="23" t="s">
        <v>80</v>
      </c>
    </row>
    <row r="38">
      <c r="A38" s="38" t="s">
        <v>77</v>
      </c>
      <c r="B38" s="39" t="s">
        <v>39</v>
      </c>
      <c r="C38" s="39" t="s">
        <v>60</v>
      </c>
      <c r="D38" s="35">
        <v>78600.0</v>
      </c>
      <c r="K38" s="23" t="s">
        <v>66</v>
      </c>
      <c r="L38" s="23" t="s">
        <v>45</v>
      </c>
      <c r="M38" s="23" t="s">
        <v>59</v>
      </c>
      <c r="N38" s="37">
        <v>28400.0</v>
      </c>
      <c r="P38" s="23" t="s">
        <v>66</v>
      </c>
    </row>
    <row r="39">
      <c r="A39" s="38" t="s">
        <v>104</v>
      </c>
      <c r="B39" s="39" t="s">
        <v>39</v>
      </c>
      <c r="C39" s="39" t="s">
        <v>40</v>
      </c>
      <c r="D39" s="35">
        <v>145000.0</v>
      </c>
      <c r="K39" s="23" t="s">
        <v>75</v>
      </c>
      <c r="L39" s="23" t="s">
        <v>39</v>
      </c>
      <c r="M39" s="23" t="s">
        <v>38</v>
      </c>
      <c r="N39" s="37">
        <v>26900.0</v>
      </c>
      <c r="P39" s="23" t="s">
        <v>75</v>
      </c>
    </row>
    <row r="40">
      <c r="A40" s="38" t="s">
        <v>70</v>
      </c>
      <c r="B40" s="39" t="s">
        <v>45</v>
      </c>
      <c r="C40" s="39" t="s">
        <v>65</v>
      </c>
      <c r="D40" s="35">
        <v>86055.0</v>
      </c>
      <c r="K40" s="23" t="s">
        <v>51</v>
      </c>
      <c r="L40" s="23" t="s">
        <v>36</v>
      </c>
      <c r="M40" s="23" t="s">
        <v>37</v>
      </c>
      <c r="N40" s="37">
        <v>26500.0</v>
      </c>
      <c r="P40" s="23" t="s">
        <v>51</v>
      </c>
    </row>
    <row r="41">
      <c r="A41" s="38" t="s">
        <v>52</v>
      </c>
      <c r="B41" s="39" t="s">
        <v>36</v>
      </c>
      <c r="C41" s="39" t="s">
        <v>53</v>
      </c>
      <c r="D41" s="35">
        <v>125600.0</v>
      </c>
      <c r="K41" s="23" t="s">
        <v>58</v>
      </c>
      <c r="L41" s="23" t="s">
        <v>45</v>
      </c>
      <c r="M41" s="23" t="s">
        <v>59</v>
      </c>
      <c r="N41" s="37">
        <v>26500.0</v>
      </c>
      <c r="P41" s="23" t="s">
        <v>58</v>
      </c>
    </row>
    <row r="42">
      <c r="A42" s="38" t="s">
        <v>67</v>
      </c>
      <c r="B42" s="39" t="s">
        <v>39</v>
      </c>
      <c r="C42" s="39" t="s">
        <v>63</v>
      </c>
      <c r="D42" s="35">
        <v>86500.0</v>
      </c>
      <c r="K42" s="23" t="s">
        <v>71</v>
      </c>
      <c r="L42" s="23" t="s">
        <v>36</v>
      </c>
      <c r="M42" s="23" t="s">
        <v>69</v>
      </c>
      <c r="N42" s="37">
        <v>25900.0</v>
      </c>
      <c r="P42" s="23" t="s">
        <v>71</v>
      </c>
    </row>
    <row r="43">
      <c r="A43" s="38" t="s">
        <v>61</v>
      </c>
      <c r="B43" s="39" t="s">
        <v>39</v>
      </c>
      <c r="C43" s="39" t="s">
        <v>55</v>
      </c>
      <c r="D43" s="35">
        <v>108357.0</v>
      </c>
      <c r="K43" s="23" t="s">
        <v>35</v>
      </c>
      <c r="L43" s="23" t="s">
        <v>36</v>
      </c>
      <c r="M43" s="23" t="s">
        <v>37</v>
      </c>
      <c r="N43" s="37">
        <v>25709.0</v>
      </c>
      <c r="P43" s="23" t="s">
        <v>35</v>
      </c>
    </row>
    <row r="44">
      <c r="A44" s="38" t="s">
        <v>56</v>
      </c>
      <c r="B44" s="39" t="s">
        <v>36</v>
      </c>
      <c r="C44" s="39" t="s">
        <v>57</v>
      </c>
      <c r="D44" s="35">
        <v>115000.0</v>
      </c>
      <c r="K44" s="23" t="s">
        <v>41</v>
      </c>
      <c r="L44" s="23" t="s">
        <v>42</v>
      </c>
      <c r="M44" s="23" t="s">
        <v>43</v>
      </c>
      <c r="N44" s="37">
        <v>25600.0</v>
      </c>
      <c r="P44" s="23" t="s">
        <v>41</v>
      </c>
    </row>
    <row r="45">
      <c r="A45" s="38" t="s">
        <v>44</v>
      </c>
      <c r="B45" s="39" t="s">
        <v>45</v>
      </c>
      <c r="C45" s="39" t="s">
        <v>46</v>
      </c>
      <c r="D45" s="35">
        <v>142000.0</v>
      </c>
      <c r="K45" s="23" t="s">
        <v>54</v>
      </c>
      <c r="L45" s="23" t="s">
        <v>39</v>
      </c>
      <c r="M45" s="23" t="s">
        <v>38</v>
      </c>
      <c r="N45" s="37">
        <v>24700.0</v>
      </c>
      <c r="P45" s="23" t="s">
        <v>54</v>
      </c>
    </row>
    <row r="46">
      <c r="A46" s="38" t="s">
        <v>49</v>
      </c>
      <c r="B46" s="39" t="s">
        <v>36</v>
      </c>
      <c r="C46" s="39" t="s">
        <v>50</v>
      </c>
      <c r="D46" s="35">
        <v>141200.0</v>
      </c>
      <c r="K46" s="23" t="s">
        <v>47</v>
      </c>
      <c r="L46" s="23" t="s">
        <v>45</v>
      </c>
      <c r="M46" s="23" t="s">
        <v>37</v>
      </c>
      <c r="N46" s="37">
        <v>23500.0</v>
      </c>
      <c r="P46" s="23" t="s">
        <v>47</v>
      </c>
    </row>
    <row r="47">
      <c r="K47" s="23"/>
      <c r="L47" s="23"/>
      <c r="M47" s="23"/>
      <c r="N47" s="23"/>
      <c r="P47" s="23"/>
    </row>
    <row r="48">
      <c r="K48" s="23"/>
      <c r="L48" s="23"/>
      <c r="M48" s="23"/>
      <c r="N48" s="23"/>
      <c r="P48" s="23"/>
    </row>
    <row r="49">
      <c r="K49" s="23"/>
      <c r="L49" s="23"/>
      <c r="M49" s="23"/>
      <c r="N49" s="23"/>
      <c r="P49" s="23"/>
    </row>
    <row r="50">
      <c r="K50" s="23"/>
      <c r="L50" s="23"/>
      <c r="M50" s="23"/>
      <c r="N50" s="23"/>
      <c r="P50" s="23"/>
    </row>
  </sheetData>
  <mergeCells count="3">
    <mergeCell ref="F3:F4"/>
    <mergeCell ref="H3:I4"/>
    <mergeCell ref="P3:P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5F4"/>
    <outlinePr summaryBelow="0" summaryRight="0"/>
  </sheetPr>
  <sheetViews>
    <sheetView workbookViewId="0"/>
  </sheetViews>
  <sheetFormatPr customHeight="1" defaultColWidth="12.63" defaultRowHeight="15.75"/>
  <cols>
    <col customWidth="1" min="1" max="1" width="14.38"/>
    <col customWidth="1" min="2" max="2" width="11.25"/>
    <col customWidth="1" min="3" max="3" width="16.25"/>
    <col customWidth="1" min="4" max="4" width="6.75"/>
    <col customWidth="1" min="5" max="5" width="3.88"/>
    <col customWidth="1" min="6" max="6" width="11.25"/>
    <col customWidth="1" min="7" max="7" width="12.0"/>
    <col customWidth="1" min="8" max="9" width="13.0"/>
    <col customWidth="1" min="10" max="10" width="13.5"/>
    <col customWidth="1" min="11" max="11" width="13.38"/>
    <col customWidth="1" min="12" max="12" width="13.13"/>
    <col customWidth="1" min="13" max="13" width="2.13"/>
    <col customWidth="1" min="14" max="14" width="8.25"/>
    <col customWidth="1" min="15" max="15" width="13.13"/>
    <col customWidth="1" min="16" max="16" width="16.63"/>
    <col customWidth="1" min="17" max="17" width="1.75"/>
    <col customWidth="1" min="18" max="19" width="13.13"/>
    <col customWidth="1" min="20" max="20" width="13.5"/>
    <col customWidth="1" min="21" max="21" width="2.13"/>
    <col customWidth="1" min="22" max="22" width="49.25"/>
    <col customWidth="1" min="23" max="23" width="13.5"/>
  </cols>
  <sheetData>
    <row r="1">
      <c r="A1" s="18" t="s">
        <v>105</v>
      </c>
      <c r="B1" s="19"/>
      <c r="C1" s="19"/>
      <c r="D1" s="19"/>
      <c r="M1" s="25"/>
      <c r="Q1" s="25"/>
      <c r="U1" s="25"/>
    </row>
    <row r="2">
      <c r="A2" s="20" t="s">
        <v>106</v>
      </c>
      <c r="M2" s="25"/>
      <c r="N2" s="40" t="s">
        <v>107</v>
      </c>
      <c r="Q2" s="25"/>
      <c r="R2" s="41" t="s">
        <v>108</v>
      </c>
      <c r="U2" s="25"/>
    </row>
    <row r="3">
      <c r="F3" s="20" t="s">
        <v>109</v>
      </c>
      <c r="M3" s="25"/>
      <c r="Q3" s="25"/>
      <c r="U3" s="25"/>
      <c r="V3" s="7" t="s">
        <v>110</v>
      </c>
    </row>
    <row r="4">
      <c r="A4" s="29" t="s">
        <v>31</v>
      </c>
      <c r="B4" s="30" t="s">
        <v>32</v>
      </c>
      <c r="C4" s="30" t="s">
        <v>33</v>
      </c>
      <c r="D4" s="30" t="s">
        <v>34</v>
      </c>
      <c r="F4" s="32" t="s">
        <v>32</v>
      </c>
      <c r="G4" s="42" t="s">
        <v>111</v>
      </c>
      <c r="H4" s="42" t="s">
        <v>112</v>
      </c>
      <c r="I4" s="32" t="s">
        <v>113</v>
      </c>
      <c r="J4" s="32" t="s">
        <v>114</v>
      </c>
      <c r="K4" s="32" t="s">
        <v>115</v>
      </c>
      <c r="L4" s="32" t="s">
        <v>116</v>
      </c>
      <c r="M4" s="25"/>
      <c r="O4" s="43" t="s">
        <v>32</v>
      </c>
      <c r="P4" s="44" t="s">
        <v>39</v>
      </c>
      <c r="Q4" s="25"/>
      <c r="S4" s="44" t="s">
        <v>36</v>
      </c>
      <c r="T4" s="44">
        <v>60000.0</v>
      </c>
      <c r="U4" s="45">
        <v>1.0</v>
      </c>
      <c r="V4" s="20" t="s">
        <v>117</v>
      </c>
      <c r="W4" s="46">
        <f>IFERROR(__xludf.DUMMYFUNCTION("COUNTUNIQUE(C5:C46)"),24.0)</f>
        <v>24</v>
      </c>
      <c r="X4" s="39"/>
    </row>
    <row r="5">
      <c r="A5" s="33" t="s">
        <v>35</v>
      </c>
      <c r="B5" s="39" t="s">
        <v>36</v>
      </c>
      <c r="C5" s="34" t="s">
        <v>37</v>
      </c>
      <c r="D5" s="35">
        <v>25709.0</v>
      </c>
      <c r="F5" s="36" t="str">
        <f t="array" ref="F5:F8">unique(B5:B46)</f>
        <v>Sales</v>
      </c>
      <c r="G5" s="47">
        <f t="shared" ref="G5:G8" si="1">SUMIF($B$5:$B$46,F5,$D$5:$D$46)</f>
        <v>706409</v>
      </c>
      <c r="H5" s="47">
        <f t="shared" ref="H5:H8" si="2">sumifs($D$5:$D$46,$B$5:$B$46,F5)</f>
        <v>706409</v>
      </c>
      <c r="I5" s="47">
        <f t="shared" ref="I5:I8" si="3">AVERAGEIFS($D$5:$D$46,$B$5:$B$46,F5)</f>
        <v>58867.41667</v>
      </c>
      <c r="J5" s="47">
        <f t="shared" ref="J5:J8" si="4">maxifs($D$5:$D$46,$B$5:$B$46,F5)</f>
        <v>141200</v>
      </c>
      <c r="K5" s="47">
        <f t="shared" ref="K5:K8" si="5">MINIFS($D$5:$D$46,$B$5:$B$46,F5)</f>
        <v>25709</v>
      </c>
      <c r="L5" s="36">
        <f t="shared" ref="L5:L8" si="6">countifs($B$5:$B$46,F5)</f>
        <v>12</v>
      </c>
      <c r="M5" s="25"/>
      <c r="O5" s="43" t="s">
        <v>33</v>
      </c>
      <c r="P5" s="44" t="s">
        <v>38</v>
      </c>
      <c r="Q5" s="25"/>
      <c r="S5" s="20"/>
      <c r="T5" s="20"/>
      <c r="U5" s="45">
        <v>2.0</v>
      </c>
      <c r="V5" s="20" t="s">
        <v>118</v>
      </c>
      <c r="W5" s="48">
        <f>counta(A5:A46)</f>
        <v>42</v>
      </c>
      <c r="X5" s="39">
        <f>IFERROR(__xludf.DUMMYFUNCTION("countunique(A5:A46)"),42.0)</f>
        <v>42</v>
      </c>
    </row>
    <row r="6">
      <c r="A6" s="38" t="s">
        <v>41</v>
      </c>
      <c r="B6" s="39" t="s">
        <v>42</v>
      </c>
      <c r="C6" s="34" t="s">
        <v>43</v>
      </c>
      <c r="D6" s="35">
        <v>25600.0</v>
      </c>
      <c r="F6" s="23" t="s">
        <v>42</v>
      </c>
      <c r="G6" s="47">
        <f t="shared" si="1"/>
        <v>367700</v>
      </c>
      <c r="H6" s="47">
        <f t="shared" si="2"/>
        <v>367700</v>
      </c>
      <c r="I6" s="47">
        <f t="shared" si="3"/>
        <v>45962.5</v>
      </c>
      <c r="J6" s="47">
        <f t="shared" si="4"/>
        <v>79600</v>
      </c>
      <c r="K6" s="47">
        <f t="shared" si="5"/>
        <v>25600</v>
      </c>
      <c r="L6" s="36">
        <f t="shared" si="6"/>
        <v>8</v>
      </c>
      <c r="M6" s="25"/>
      <c r="Q6" s="25"/>
      <c r="S6" s="49" t="s">
        <v>119</v>
      </c>
      <c r="T6" s="46">
        <f>countifs($B$5:$B$46,S4,$D$5:$D$46,"&gt;"&amp;T4)</f>
        <v>3</v>
      </c>
      <c r="U6" s="45">
        <v>3.0</v>
      </c>
      <c r="V6" s="20" t="s">
        <v>120</v>
      </c>
      <c r="W6" s="48">
        <f>countifs(B5:B46,"Sales",C5:C46,"Assistant")</f>
        <v>2</v>
      </c>
      <c r="X6" s="39"/>
    </row>
    <row r="7">
      <c r="A7" s="38" t="s">
        <v>47</v>
      </c>
      <c r="B7" s="39" t="s">
        <v>45</v>
      </c>
      <c r="C7" s="34" t="s">
        <v>37</v>
      </c>
      <c r="D7" s="35">
        <v>23500.0</v>
      </c>
      <c r="F7" s="23" t="s">
        <v>45</v>
      </c>
      <c r="G7" s="47">
        <f t="shared" si="1"/>
        <v>688455</v>
      </c>
      <c r="H7" s="47">
        <f t="shared" si="2"/>
        <v>688455</v>
      </c>
      <c r="I7" s="47">
        <f t="shared" si="3"/>
        <v>62586.81818</v>
      </c>
      <c r="J7" s="47">
        <f t="shared" si="4"/>
        <v>142000</v>
      </c>
      <c r="K7" s="47">
        <f t="shared" si="5"/>
        <v>23500</v>
      </c>
      <c r="L7" s="36">
        <f t="shared" si="6"/>
        <v>11</v>
      </c>
      <c r="M7" s="25"/>
      <c r="O7" s="43" t="s">
        <v>121</v>
      </c>
      <c r="P7" s="50">
        <f>sumifs($D$5:$D$46,$B$5:$B$46,$P$4,$C$5:$C$46,$P$5)</f>
        <v>98800</v>
      </c>
      <c r="Q7" s="25"/>
      <c r="R7" s="20"/>
      <c r="S7" s="20"/>
      <c r="T7" s="20"/>
      <c r="U7" s="45">
        <v>4.0</v>
      </c>
      <c r="V7" s="20" t="s">
        <v>122</v>
      </c>
      <c r="W7" s="51">
        <f>AVERAGEIFS(D5:D46,C5:C46,"accountant")</f>
        <v>32933.33333</v>
      </c>
      <c r="X7" s="39"/>
    </row>
    <row r="8">
      <c r="A8" s="38" t="s">
        <v>51</v>
      </c>
      <c r="B8" s="39" t="s">
        <v>36</v>
      </c>
      <c r="C8" s="34" t="s">
        <v>37</v>
      </c>
      <c r="D8" s="35">
        <v>26500.0</v>
      </c>
      <c r="F8" s="23" t="s">
        <v>39</v>
      </c>
      <c r="G8" s="47">
        <f t="shared" si="1"/>
        <v>711054</v>
      </c>
      <c r="H8" s="47">
        <f t="shared" si="2"/>
        <v>711054</v>
      </c>
      <c r="I8" s="47">
        <f t="shared" si="3"/>
        <v>64641.27273</v>
      </c>
      <c r="J8" s="47">
        <f t="shared" si="4"/>
        <v>145000</v>
      </c>
      <c r="K8" s="47">
        <f t="shared" si="5"/>
        <v>24700</v>
      </c>
      <c r="L8" s="36">
        <f t="shared" si="6"/>
        <v>11</v>
      </c>
      <c r="M8" s="25"/>
      <c r="O8" s="43" t="s">
        <v>113</v>
      </c>
      <c r="P8" s="50">
        <f>averageifs($D$5:$D$46,$B$5:$B$46,$P$4,$C$5:$C$46,$P$5)</f>
        <v>32933.33333</v>
      </c>
      <c r="Q8" s="25"/>
      <c r="U8" s="25"/>
      <c r="W8" s="23" t="str">
        <f>"Completed: "&amp;counta(W4:W7)&amp; " / "&amp;4</f>
        <v>Completed: 4 / 4</v>
      </c>
      <c r="X8" s="39"/>
    </row>
    <row r="9">
      <c r="A9" s="38" t="s">
        <v>54</v>
      </c>
      <c r="B9" s="39" t="s">
        <v>39</v>
      </c>
      <c r="C9" s="39" t="s">
        <v>38</v>
      </c>
      <c r="D9" s="35">
        <v>24700.0</v>
      </c>
      <c r="H9" s="52"/>
      <c r="I9" s="52"/>
      <c r="J9" s="52"/>
      <c r="M9" s="25"/>
      <c r="O9" s="43" t="s">
        <v>114</v>
      </c>
      <c r="P9" s="50">
        <f>MAXIFS($D$5:$D$46,$B$5:$B$46,$P$4,$C$5:$C$46,$P$5)</f>
        <v>47200</v>
      </c>
      <c r="Q9" s="25"/>
      <c r="U9" s="25"/>
      <c r="V9" s="34" t="s">
        <v>123</v>
      </c>
      <c r="X9" s="39"/>
    </row>
    <row r="10">
      <c r="A10" s="38" t="s">
        <v>58</v>
      </c>
      <c r="B10" s="39" t="s">
        <v>45</v>
      </c>
      <c r="C10" s="39" t="s">
        <v>59</v>
      </c>
      <c r="D10" s="35">
        <v>26500.0</v>
      </c>
      <c r="M10" s="25"/>
      <c r="Q10" s="25"/>
      <c r="U10" s="25"/>
      <c r="V10" s="36" t="str">
        <f t="array" ref="V10:V13">unique(B5:B46)</f>
        <v>Sales</v>
      </c>
      <c r="W10" s="36">
        <f>IFERROR(__xludf.DUMMYFUNCTION("COUNTUNIQUEIFS($C$5:$C$46,$B$5:$B$46,V10)"),9.0)</f>
        <v>9</v>
      </c>
    </row>
    <row r="11">
      <c r="A11" s="38" t="s">
        <v>62</v>
      </c>
      <c r="B11" s="39" t="s">
        <v>42</v>
      </c>
      <c r="C11" s="34" t="s">
        <v>37</v>
      </c>
      <c r="D11" s="35">
        <v>30600.0</v>
      </c>
      <c r="M11" s="25"/>
      <c r="Q11" s="25"/>
      <c r="U11" s="25"/>
      <c r="V11" s="36" t="s">
        <v>42</v>
      </c>
      <c r="W11" s="36">
        <f>IFERROR(__xludf.DUMMYFUNCTION("COUNTUNIQUEIFS($C$5:$C$46,$B$5:$B$46,V11)"),7.0)</f>
        <v>7</v>
      </c>
      <c r="X11" s="39"/>
    </row>
    <row r="12">
      <c r="A12" s="38" t="s">
        <v>66</v>
      </c>
      <c r="B12" s="39" t="s">
        <v>45</v>
      </c>
      <c r="C12" s="39" t="s">
        <v>59</v>
      </c>
      <c r="D12" s="35">
        <v>28400.0</v>
      </c>
      <c r="M12" s="25"/>
      <c r="Q12" s="25"/>
      <c r="U12" s="25"/>
      <c r="V12" s="36" t="s">
        <v>45</v>
      </c>
      <c r="W12" s="36">
        <f>IFERROR(__xludf.DUMMYFUNCTION("COUNTUNIQUEIFS($C$5:$C$46,$B$5:$B$46,V12)"),5.0)</f>
        <v>5</v>
      </c>
      <c r="X12" s="39"/>
    </row>
    <row r="13">
      <c r="A13" s="38" t="s">
        <v>68</v>
      </c>
      <c r="B13" s="39" t="s">
        <v>36</v>
      </c>
      <c r="C13" s="39" t="s">
        <v>69</v>
      </c>
      <c r="D13" s="35">
        <v>32800.0</v>
      </c>
      <c r="M13" s="25"/>
      <c r="Q13" s="25"/>
      <c r="U13" s="25"/>
      <c r="V13" s="36" t="s">
        <v>39</v>
      </c>
      <c r="W13" s="36">
        <f>IFERROR(__xludf.DUMMYFUNCTION("COUNTUNIQUEIFS($C$5:$C$46,$B$5:$B$46,V13)"),7.0)</f>
        <v>7</v>
      </c>
      <c r="X13" s="39"/>
    </row>
    <row r="14">
      <c r="A14" s="38" t="s">
        <v>71</v>
      </c>
      <c r="B14" s="39" t="s">
        <v>36</v>
      </c>
      <c r="C14" s="39" t="s">
        <v>69</v>
      </c>
      <c r="D14" s="35">
        <v>25900.0</v>
      </c>
      <c r="X14" s="39"/>
    </row>
    <row r="15">
      <c r="A15" s="38" t="s">
        <v>75</v>
      </c>
      <c r="B15" s="39" t="s">
        <v>39</v>
      </c>
      <c r="C15" s="39" t="s">
        <v>38</v>
      </c>
      <c r="D15" s="35">
        <v>26900.0</v>
      </c>
      <c r="X15" s="39"/>
    </row>
    <row r="16">
      <c r="A16" s="38" t="s">
        <v>78</v>
      </c>
      <c r="B16" s="39" t="s">
        <v>39</v>
      </c>
      <c r="C16" s="39" t="s">
        <v>38</v>
      </c>
      <c r="D16" s="35">
        <v>47200.0</v>
      </c>
      <c r="H16" s="52"/>
      <c r="I16" s="52"/>
      <c r="J16" s="52"/>
      <c r="X16" s="39"/>
    </row>
    <row r="17">
      <c r="A17" s="38" t="s">
        <v>80</v>
      </c>
      <c r="B17" s="39" t="s">
        <v>39</v>
      </c>
      <c r="C17" s="34" t="s">
        <v>43</v>
      </c>
      <c r="D17" s="35">
        <v>29800.0</v>
      </c>
      <c r="H17" s="52"/>
      <c r="I17" s="52"/>
      <c r="J17" s="52"/>
      <c r="X17" s="39"/>
    </row>
    <row r="18">
      <c r="A18" s="38" t="s">
        <v>84</v>
      </c>
      <c r="B18" s="39" t="s">
        <v>42</v>
      </c>
      <c r="C18" s="39" t="s">
        <v>81</v>
      </c>
      <c r="D18" s="35">
        <v>31200.0</v>
      </c>
      <c r="H18" s="52"/>
      <c r="I18" s="52"/>
      <c r="J18" s="52"/>
      <c r="X18" s="39"/>
    </row>
    <row r="19">
      <c r="A19" s="38" t="s">
        <v>87</v>
      </c>
      <c r="B19" s="39" t="s">
        <v>42</v>
      </c>
      <c r="C19" s="39" t="s">
        <v>76</v>
      </c>
      <c r="D19" s="35">
        <v>49500.0</v>
      </c>
      <c r="H19" s="52"/>
      <c r="I19" s="52"/>
      <c r="J19" s="52"/>
      <c r="X19" s="39"/>
    </row>
    <row r="20">
      <c r="A20" s="38" t="s">
        <v>88</v>
      </c>
      <c r="B20" s="39" t="s">
        <v>42</v>
      </c>
      <c r="C20" s="39" t="s">
        <v>72</v>
      </c>
      <c r="D20" s="35">
        <v>58300.0</v>
      </c>
      <c r="H20" s="52"/>
      <c r="I20" s="52"/>
      <c r="J20" s="52"/>
      <c r="X20" s="39"/>
    </row>
    <row r="21">
      <c r="A21" s="38" t="s">
        <v>90</v>
      </c>
      <c r="B21" s="39" t="s">
        <v>42</v>
      </c>
      <c r="C21" s="39" t="s">
        <v>72</v>
      </c>
      <c r="D21" s="35">
        <v>36400.0</v>
      </c>
      <c r="H21" s="52"/>
      <c r="I21" s="52"/>
      <c r="J21" s="52"/>
      <c r="X21" s="39"/>
    </row>
    <row r="22">
      <c r="A22" s="38" t="s">
        <v>92</v>
      </c>
      <c r="B22" s="39" t="s">
        <v>36</v>
      </c>
      <c r="C22" s="34" t="s">
        <v>43</v>
      </c>
      <c r="D22" s="35">
        <v>38500.0</v>
      </c>
      <c r="H22" s="52"/>
      <c r="I22" s="52"/>
      <c r="J22" s="52"/>
      <c r="X22" s="39"/>
    </row>
    <row r="23">
      <c r="A23" s="38" t="s">
        <v>95</v>
      </c>
      <c r="B23" s="39" t="s">
        <v>36</v>
      </c>
      <c r="C23" s="39" t="s">
        <v>96</v>
      </c>
      <c r="D23" s="35">
        <v>39400.0</v>
      </c>
      <c r="H23" s="52"/>
      <c r="I23" s="52"/>
      <c r="J23" s="52"/>
      <c r="X23" s="39"/>
    </row>
    <row r="24">
      <c r="A24" s="38" t="s">
        <v>98</v>
      </c>
      <c r="B24" s="39" t="s">
        <v>36</v>
      </c>
      <c r="C24" s="34" t="s">
        <v>43</v>
      </c>
      <c r="D24" s="35">
        <v>42500.0</v>
      </c>
      <c r="H24" s="52"/>
      <c r="I24" s="52"/>
      <c r="J24" s="52"/>
      <c r="X24" s="39"/>
    </row>
    <row r="25">
      <c r="A25" s="38" t="s">
        <v>99</v>
      </c>
      <c r="B25" s="39" t="s">
        <v>39</v>
      </c>
      <c r="C25" s="34" t="s">
        <v>43</v>
      </c>
      <c r="D25" s="35">
        <v>49727.0</v>
      </c>
      <c r="H25" s="52"/>
      <c r="I25" s="52"/>
      <c r="J25" s="52"/>
      <c r="X25" s="39"/>
    </row>
    <row r="26">
      <c r="A26" s="38" t="s">
        <v>100</v>
      </c>
      <c r="B26" s="39" t="s">
        <v>39</v>
      </c>
      <c r="C26" s="34" t="s">
        <v>43</v>
      </c>
      <c r="D26" s="35">
        <v>49000.0</v>
      </c>
      <c r="H26" s="52"/>
      <c r="I26" s="52"/>
      <c r="J26" s="52"/>
      <c r="X26" s="39"/>
    </row>
    <row r="27">
      <c r="A27" s="38" t="s">
        <v>73</v>
      </c>
      <c r="B27" s="39" t="s">
        <v>42</v>
      </c>
      <c r="C27" s="39" t="s">
        <v>74</v>
      </c>
      <c r="D27" s="35">
        <v>79600.0</v>
      </c>
      <c r="H27" s="52"/>
      <c r="I27" s="52"/>
      <c r="J27" s="52"/>
      <c r="X27" s="39"/>
    </row>
    <row r="28">
      <c r="A28" s="38" t="s">
        <v>89</v>
      </c>
      <c r="B28" s="39" t="s">
        <v>42</v>
      </c>
      <c r="C28" s="39" t="s">
        <v>85</v>
      </c>
      <c r="D28" s="35">
        <v>56500.0</v>
      </c>
      <c r="H28" s="52"/>
      <c r="I28" s="52"/>
      <c r="J28" s="52"/>
      <c r="X28" s="39"/>
    </row>
    <row r="29">
      <c r="A29" s="38" t="s">
        <v>86</v>
      </c>
      <c r="B29" s="39" t="s">
        <v>45</v>
      </c>
      <c r="C29" s="39" t="s">
        <v>83</v>
      </c>
      <c r="D29" s="35">
        <v>59900.0</v>
      </c>
      <c r="H29" s="52"/>
      <c r="I29" s="52"/>
      <c r="J29" s="52"/>
      <c r="X29" s="39"/>
    </row>
    <row r="30">
      <c r="A30" s="38" t="s">
        <v>101</v>
      </c>
      <c r="B30" s="39" t="s">
        <v>45</v>
      </c>
      <c r="C30" s="39" t="s">
        <v>59</v>
      </c>
      <c r="D30" s="35">
        <v>48500.0</v>
      </c>
      <c r="H30" s="52"/>
      <c r="I30" s="52"/>
      <c r="J30" s="52"/>
      <c r="X30" s="39"/>
    </row>
    <row r="31">
      <c r="A31" s="38" t="s">
        <v>103</v>
      </c>
      <c r="B31" s="39" t="s">
        <v>36</v>
      </c>
      <c r="C31" s="39" t="s">
        <v>102</v>
      </c>
      <c r="D31" s="35">
        <v>41200.0</v>
      </c>
      <c r="H31" s="52"/>
      <c r="I31" s="52"/>
      <c r="J31" s="52"/>
      <c r="X31" s="39"/>
    </row>
    <row r="32">
      <c r="A32" s="38" t="s">
        <v>93</v>
      </c>
      <c r="B32" s="39" t="s">
        <v>36</v>
      </c>
      <c r="C32" s="39" t="s">
        <v>94</v>
      </c>
      <c r="D32" s="35">
        <v>52100.0</v>
      </c>
      <c r="H32" s="52"/>
      <c r="I32" s="52"/>
      <c r="J32" s="52"/>
      <c r="X32" s="39"/>
    </row>
    <row r="33">
      <c r="A33" s="38" t="s">
        <v>82</v>
      </c>
      <c r="B33" s="39" t="s">
        <v>45</v>
      </c>
      <c r="C33" s="39" t="s">
        <v>83</v>
      </c>
      <c r="D33" s="35">
        <v>65200.0</v>
      </c>
      <c r="H33" s="52"/>
      <c r="I33" s="52"/>
      <c r="J33" s="52"/>
    </row>
    <row r="34">
      <c r="A34" s="38" t="s">
        <v>91</v>
      </c>
      <c r="B34" s="39" t="s">
        <v>45</v>
      </c>
      <c r="C34" s="39" t="s">
        <v>59</v>
      </c>
      <c r="D34" s="35">
        <v>54600.0</v>
      </c>
      <c r="H34" s="52"/>
      <c r="I34" s="52"/>
      <c r="J34" s="52"/>
    </row>
    <row r="35">
      <c r="A35" s="38" t="s">
        <v>97</v>
      </c>
      <c r="B35" s="39" t="s">
        <v>45</v>
      </c>
      <c r="C35" s="39" t="s">
        <v>59</v>
      </c>
      <c r="D35" s="35">
        <v>51300.0</v>
      </c>
      <c r="H35" s="52"/>
      <c r="I35" s="52"/>
      <c r="J35" s="52"/>
    </row>
    <row r="36">
      <c r="A36" s="38" t="s">
        <v>64</v>
      </c>
      <c r="B36" s="39" t="s">
        <v>45</v>
      </c>
      <c r="C36" s="39" t="s">
        <v>65</v>
      </c>
      <c r="D36" s="35">
        <v>102500.0</v>
      </c>
      <c r="H36" s="52"/>
      <c r="I36" s="52"/>
      <c r="J36" s="52"/>
    </row>
    <row r="37">
      <c r="A37" s="38" t="s">
        <v>79</v>
      </c>
      <c r="B37" s="39" t="s">
        <v>39</v>
      </c>
      <c r="C37" s="39" t="s">
        <v>48</v>
      </c>
      <c r="D37" s="35">
        <v>65270.0</v>
      </c>
      <c r="H37" s="52"/>
      <c r="I37" s="52"/>
      <c r="J37" s="52"/>
    </row>
    <row r="38">
      <c r="A38" s="38" t="s">
        <v>77</v>
      </c>
      <c r="B38" s="39" t="s">
        <v>39</v>
      </c>
      <c r="C38" s="39" t="s">
        <v>60</v>
      </c>
      <c r="D38" s="35">
        <v>78600.0</v>
      </c>
      <c r="H38" s="52"/>
      <c r="I38" s="52"/>
      <c r="J38" s="52"/>
    </row>
    <row r="39">
      <c r="A39" s="38" t="s">
        <v>104</v>
      </c>
      <c r="B39" s="39" t="s">
        <v>39</v>
      </c>
      <c r="C39" s="39" t="s">
        <v>40</v>
      </c>
      <c r="D39" s="35">
        <v>145000.0</v>
      </c>
      <c r="H39" s="52"/>
      <c r="I39" s="52"/>
      <c r="J39" s="52"/>
    </row>
    <row r="40">
      <c r="A40" s="38" t="s">
        <v>70</v>
      </c>
      <c r="B40" s="39" t="s">
        <v>45</v>
      </c>
      <c r="C40" s="39" t="s">
        <v>65</v>
      </c>
      <c r="D40" s="35">
        <v>86055.0</v>
      </c>
      <c r="H40" s="52"/>
      <c r="I40" s="52"/>
      <c r="J40" s="52"/>
    </row>
    <row r="41">
      <c r="A41" s="38" t="s">
        <v>52</v>
      </c>
      <c r="B41" s="39" t="s">
        <v>36</v>
      </c>
      <c r="C41" s="39" t="s">
        <v>53</v>
      </c>
      <c r="D41" s="35">
        <v>125600.0</v>
      </c>
      <c r="H41" s="52"/>
      <c r="I41" s="52"/>
      <c r="J41" s="52"/>
    </row>
    <row r="42">
      <c r="A42" s="38" t="s">
        <v>67</v>
      </c>
      <c r="B42" s="39" t="s">
        <v>39</v>
      </c>
      <c r="C42" s="39" t="s">
        <v>63</v>
      </c>
      <c r="D42" s="35">
        <v>86500.0</v>
      </c>
      <c r="H42" s="52"/>
      <c r="I42" s="52"/>
      <c r="J42" s="52"/>
    </row>
    <row r="43">
      <c r="A43" s="38" t="s">
        <v>61</v>
      </c>
      <c r="B43" s="39" t="s">
        <v>39</v>
      </c>
      <c r="C43" s="39" t="s">
        <v>55</v>
      </c>
      <c r="D43" s="35">
        <v>108357.0</v>
      </c>
      <c r="H43" s="52"/>
      <c r="I43" s="52"/>
      <c r="J43" s="52"/>
    </row>
    <row r="44">
      <c r="A44" s="38" t="s">
        <v>56</v>
      </c>
      <c r="B44" s="39" t="s">
        <v>36</v>
      </c>
      <c r="C44" s="39" t="s">
        <v>57</v>
      </c>
      <c r="D44" s="35">
        <v>115000.0</v>
      </c>
      <c r="H44" s="52"/>
      <c r="I44" s="52"/>
      <c r="J44" s="52"/>
    </row>
    <row r="45">
      <c r="A45" s="38" t="s">
        <v>44</v>
      </c>
      <c r="B45" s="39" t="s">
        <v>45</v>
      </c>
      <c r="C45" s="39" t="s">
        <v>46</v>
      </c>
      <c r="D45" s="35">
        <v>142000.0</v>
      </c>
      <c r="H45" s="52"/>
      <c r="I45" s="52"/>
      <c r="J45" s="52"/>
    </row>
    <row r="46">
      <c r="A46" s="38" t="s">
        <v>49</v>
      </c>
      <c r="B46" s="39" t="s">
        <v>36</v>
      </c>
      <c r="C46" s="39" t="s">
        <v>50</v>
      </c>
      <c r="D46" s="35">
        <v>141200.0</v>
      </c>
      <c r="H46" s="52"/>
      <c r="I46" s="52"/>
      <c r="J46" s="52"/>
    </row>
  </sheetData>
  <mergeCells count="2">
    <mergeCell ref="N2:P3"/>
    <mergeCell ref="R2:T3"/>
  </mergeCells>
  <dataValidations>
    <dataValidation type="list" allowBlank="1" sqref="S4">
      <formula1>'SUMIFS (COUNT, MAX...)'!$B$5:$B$50</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5F4"/>
    <outlinePr summaryBelow="0" summaryRight="0"/>
  </sheetPr>
  <sheetViews>
    <sheetView workbookViewId="0"/>
  </sheetViews>
  <sheetFormatPr customHeight="1" defaultColWidth="12.63" defaultRowHeight="15.75"/>
  <cols>
    <col customWidth="1" min="1" max="1" width="21.88"/>
    <col customWidth="1" min="2" max="2" width="9.75"/>
    <col customWidth="1" min="11" max="11" width="25.25"/>
  </cols>
  <sheetData>
    <row r="1">
      <c r="A1" s="18" t="s">
        <v>124</v>
      </c>
      <c r="B1" s="19"/>
      <c r="C1" s="19"/>
      <c r="D1" s="19"/>
    </row>
    <row r="2">
      <c r="A2" s="20" t="s">
        <v>125</v>
      </c>
    </row>
    <row r="4" ht="35.25" customHeight="1">
      <c r="A4" s="30" t="s">
        <v>126</v>
      </c>
      <c r="B4" s="29" t="s">
        <v>127</v>
      </c>
      <c r="C4" s="53" t="s">
        <v>128</v>
      </c>
      <c r="D4" s="53" t="s">
        <v>129</v>
      </c>
      <c r="E4" s="53" t="s">
        <v>130</v>
      </c>
      <c r="F4" s="53" t="s">
        <v>131</v>
      </c>
      <c r="G4" s="53" t="s">
        <v>132</v>
      </c>
      <c r="H4" s="53" t="s">
        <v>133</v>
      </c>
      <c r="I4" s="53" t="s">
        <v>134</v>
      </c>
    </row>
    <row r="5">
      <c r="A5" s="20" t="s">
        <v>135</v>
      </c>
      <c r="B5" s="54">
        <v>12.99</v>
      </c>
      <c r="C5" s="55">
        <f t="shared" ref="C5:C17" si="1">ROUND(B5,0)</f>
        <v>13</v>
      </c>
      <c r="D5" s="56">
        <f t="shared" ref="D5:D17" si="2">ROUND(B5,1)</f>
        <v>13</v>
      </c>
      <c r="E5" s="55">
        <f t="shared" ref="E5:E17" si="3">round(B5,-1)</f>
        <v>10</v>
      </c>
      <c r="F5" s="36">
        <f t="shared" ref="F5:F17" si="4">ROUNDUP(B5,0)</f>
        <v>13</v>
      </c>
      <c r="G5" s="36">
        <f t="shared" ref="G5:G17" si="5">ROUNDUP(B5,1)</f>
        <v>13</v>
      </c>
      <c r="H5" s="36">
        <f t="shared" ref="H5:H17" si="6">ROUNDDOWN(B5,0)</f>
        <v>12</v>
      </c>
      <c r="I5" s="36">
        <f t="shared" ref="I5:I17" si="7">ROUNDDOWN(B5,1)</f>
        <v>12.9</v>
      </c>
    </row>
    <row r="6">
      <c r="A6" s="20" t="s">
        <v>136</v>
      </c>
      <c r="B6" s="54">
        <v>12.5</v>
      </c>
      <c r="C6" s="55">
        <f t="shared" si="1"/>
        <v>13</v>
      </c>
      <c r="D6" s="56">
        <f t="shared" si="2"/>
        <v>12.5</v>
      </c>
      <c r="E6" s="55">
        <f t="shared" si="3"/>
        <v>10</v>
      </c>
      <c r="F6" s="36">
        <f t="shared" si="4"/>
        <v>13</v>
      </c>
      <c r="G6" s="36">
        <f t="shared" si="5"/>
        <v>12.5</v>
      </c>
      <c r="H6" s="36">
        <f t="shared" si="6"/>
        <v>12</v>
      </c>
      <c r="I6" s="36">
        <f t="shared" si="7"/>
        <v>12.5</v>
      </c>
    </row>
    <row r="7">
      <c r="A7" s="20" t="s">
        <v>137</v>
      </c>
      <c r="B7" s="20">
        <v>10.0</v>
      </c>
      <c r="C7" s="36">
        <f t="shared" si="1"/>
        <v>10</v>
      </c>
      <c r="D7" s="56">
        <f t="shared" si="2"/>
        <v>10</v>
      </c>
      <c r="E7" s="36">
        <f t="shared" si="3"/>
        <v>10</v>
      </c>
      <c r="F7" s="36">
        <f t="shared" si="4"/>
        <v>10</v>
      </c>
      <c r="G7" s="36">
        <f t="shared" si="5"/>
        <v>10</v>
      </c>
      <c r="H7" s="36">
        <f t="shared" si="6"/>
        <v>10</v>
      </c>
      <c r="I7" s="36">
        <f t="shared" si="7"/>
        <v>10</v>
      </c>
    </row>
    <row r="8">
      <c r="A8" s="20" t="s">
        <v>135</v>
      </c>
      <c r="B8" s="20">
        <v>13.5</v>
      </c>
      <c r="C8" s="36">
        <f t="shared" si="1"/>
        <v>14</v>
      </c>
      <c r="D8" s="56">
        <f t="shared" si="2"/>
        <v>13.5</v>
      </c>
      <c r="E8" s="36">
        <f t="shared" si="3"/>
        <v>10</v>
      </c>
      <c r="F8" s="36">
        <f t="shared" si="4"/>
        <v>14</v>
      </c>
      <c r="G8" s="36">
        <f t="shared" si="5"/>
        <v>13.5</v>
      </c>
      <c r="H8" s="36">
        <f t="shared" si="6"/>
        <v>13</v>
      </c>
      <c r="I8" s="36">
        <f t="shared" si="7"/>
        <v>13.5</v>
      </c>
    </row>
    <row r="9">
      <c r="A9" s="20" t="s">
        <v>136</v>
      </c>
      <c r="B9" s="20">
        <v>13.5</v>
      </c>
      <c r="C9" s="36">
        <f t="shared" si="1"/>
        <v>14</v>
      </c>
      <c r="D9" s="56">
        <f t="shared" si="2"/>
        <v>13.5</v>
      </c>
      <c r="E9" s="36">
        <f t="shared" si="3"/>
        <v>10</v>
      </c>
      <c r="F9" s="36">
        <f t="shared" si="4"/>
        <v>14</v>
      </c>
      <c r="G9" s="36">
        <f t="shared" si="5"/>
        <v>13.5</v>
      </c>
      <c r="H9" s="36">
        <f t="shared" si="6"/>
        <v>13</v>
      </c>
      <c r="I9" s="36">
        <f t="shared" si="7"/>
        <v>13.5</v>
      </c>
    </row>
    <row r="10">
      <c r="A10" s="20" t="s">
        <v>138</v>
      </c>
      <c r="B10" s="20">
        <v>59.99</v>
      </c>
      <c r="C10" s="36">
        <f t="shared" si="1"/>
        <v>60</v>
      </c>
      <c r="D10" s="56">
        <f t="shared" si="2"/>
        <v>60</v>
      </c>
      <c r="E10" s="36">
        <f t="shared" si="3"/>
        <v>60</v>
      </c>
      <c r="F10" s="36">
        <f t="shared" si="4"/>
        <v>60</v>
      </c>
      <c r="G10" s="36">
        <f t="shared" si="5"/>
        <v>60</v>
      </c>
      <c r="H10" s="36">
        <f t="shared" si="6"/>
        <v>59</v>
      </c>
      <c r="I10" s="36">
        <f t="shared" si="7"/>
        <v>59.9</v>
      </c>
    </row>
    <row r="11">
      <c r="A11" s="20" t="s">
        <v>139</v>
      </c>
      <c r="B11" s="20">
        <v>24.65</v>
      </c>
      <c r="C11" s="36">
        <f t="shared" si="1"/>
        <v>25</v>
      </c>
      <c r="D11" s="56">
        <f t="shared" si="2"/>
        <v>24.7</v>
      </c>
      <c r="E11" s="36">
        <f t="shared" si="3"/>
        <v>20</v>
      </c>
      <c r="F11" s="36">
        <f t="shared" si="4"/>
        <v>25</v>
      </c>
      <c r="G11" s="36">
        <f t="shared" si="5"/>
        <v>24.7</v>
      </c>
      <c r="H11" s="36">
        <f t="shared" si="6"/>
        <v>24</v>
      </c>
      <c r="I11" s="36">
        <f t="shared" si="7"/>
        <v>24.6</v>
      </c>
    </row>
    <row r="12">
      <c r="A12" s="20" t="s">
        <v>140</v>
      </c>
      <c r="B12" s="20">
        <v>19.99</v>
      </c>
      <c r="C12" s="36">
        <f t="shared" si="1"/>
        <v>20</v>
      </c>
      <c r="D12" s="56">
        <f t="shared" si="2"/>
        <v>20</v>
      </c>
      <c r="E12" s="36">
        <f t="shared" si="3"/>
        <v>20</v>
      </c>
      <c r="F12" s="36">
        <f t="shared" si="4"/>
        <v>20</v>
      </c>
      <c r="G12" s="36">
        <f t="shared" si="5"/>
        <v>20</v>
      </c>
      <c r="H12" s="36">
        <f t="shared" si="6"/>
        <v>19</v>
      </c>
      <c r="I12" s="36">
        <f t="shared" si="7"/>
        <v>19.9</v>
      </c>
    </row>
    <row r="13">
      <c r="A13" s="20" t="s">
        <v>141</v>
      </c>
      <c r="B13" s="20">
        <v>24.65</v>
      </c>
      <c r="C13" s="36">
        <f t="shared" si="1"/>
        <v>25</v>
      </c>
      <c r="D13" s="56">
        <f t="shared" si="2"/>
        <v>24.7</v>
      </c>
      <c r="E13" s="36">
        <f t="shared" si="3"/>
        <v>20</v>
      </c>
      <c r="F13" s="36">
        <f t="shared" si="4"/>
        <v>25</v>
      </c>
      <c r="G13" s="36">
        <f t="shared" si="5"/>
        <v>24.7</v>
      </c>
      <c r="H13" s="36">
        <f t="shared" si="6"/>
        <v>24</v>
      </c>
      <c r="I13" s="36">
        <f t="shared" si="7"/>
        <v>24.6</v>
      </c>
    </row>
    <row r="14">
      <c r="A14" s="20" t="s">
        <v>142</v>
      </c>
      <c r="B14" s="20">
        <v>6.44</v>
      </c>
      <c r="C14" s="36">
        <f t="shared" si="1"/>
        <v>6</v>
      </c>
      <c r="D14" s="56">
        <f t="shared" si="2"/>
        <v>6.4</v>
      </c>
      <c r="E14" s="36">
        <f t="shared" si="3"/>
        <v>10</v>
      </c>
      <c r="F14" s="36">
        <f t="shared" si="4"/>
        <v>7</v>
      </c>
      <c r="G14" s="36">
        <f t="shared" si="5"/>
        <v>6.5</v>
      </c>
      <c r="H14" s="36">
        <f t="shared" si="6"/>
        <v>6</v>
      </c>
      <c r="I14" s="36">
        <f t="shared" si="7"/>
        <v>6.4</v>
      </c>
    </row>
    <row r="15">
      <c r="A15" s="20" t="s">
        <v>143</v>
      </c>
      <c r="B15" s="20">
        <v>18.0</v>
      </c>
      <c r="C15" s="36">
        <f t="shared" si="1"/>
        <v>18</v>
      </c>
      <c r="D15" s="56">
        <f t="shared" si="2"/>
        <v>18</v>
      </c>
      <c r="E15" s="36">
        <f t="shared" si="3"/>
        <v>20</v>
      </c>
      <c r="F15" s="36">
        <f t="shared" si="4"/>
        <v>18</v>
      </c>
      <c r="G15" s="36">
        <f t="shared" si="5"/>
        <v>18</v>
      </c>
      <c r="H15" s="36">
        <f t="shared" si="6"/>
        <v>18</v>
      </c>
      <c r="I15" s="36">
        <f t="shared" si="7"/>
        <v>18</v>
      </c>
    </row>
    <row r="16">
      <c r="A16" s="20" t="s">
        <v>144</v>
      </c>
      <c r="B16" s="20">
        <v>62.55</v>
      </c>
      <c r="C16" s="36">
        <f t="shared" si="1"/>
        <v>63</v>
      </c>
      <c r="D16" s="56">
        <f t="shared" si="2"/>
        <v>62.6</v>
      </c>
      <c r="E16" s="36">
        <f t="shared" si="3"/>
        <v>60</v>
      </c>
      <c r="F16" s="36">
        <f t="shared" si="4"/>
        <v>63</v>
      </c>
      <c r="G16" s="36">
        <f t="shared" si="5"/>
        <v>62.6</v>
      </c>
      <c r="H16" s="36">
        <f t="shared" si="6"/>
        <v>62</v>
      </c>
      <c r="I16" s="36">
        <f t="shared" si="7"/>
        <v>62.5</v>
      </c>
    </row>
    <row r="17">
      <c r="A17" s="20" t="s">
        <v>145</v>
      </c>
      <c r="B17" s="20">
        <v>65.4</v>
      </c>
      <c r="C17" s="36">
        <f t="shared" si="1"/>
        <v>65</v>
      </c>
      <c r="D17" s="56">
        <f t="shared" si="2"/>
        <v>65.4</v>
      </c>
      <c r="E17" s="36">
        <f t="shared" si="3"/>
        <v>70</v>
      </c>
      <c r="F17" s="36">
        <f t="shared" si="4"/>
        <v>66</v>
      </c>
      <c r="G17" s="36">
        <f t="shared" si="5"/>
        <v>65.4</v>
      </c>
      <c r="H17" s="36">
        <f t="shared" si="6"/>
        <v>65</v>
      </c>
      <c r="I17" s="36">
        <f t="shared" si="7"/>
        <v>65.4</v>
      </c>
    </row>
    <row r="18">
      <c r="D18" s="57"/>
    </row>
    <row r="19">
      <c r="A19" s="7"/>
      <c r="C19" s="43" t="s">
        <v>146</v>
      </c>
      <c r="D19" s="58">
        <f>round(average(B5:B17),1)</f>
        <v>26.5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5F4"/>
    <outlinePr summaryBelow="0" summaryRight="0"/>
  </sheetPr>
  <sheetViews>
    <sheetView showGridLines="0" workbookViewId="0"/>
  </sheetViews>
  <sheetFormatPr customHeight="1" defaultColWidth="12.63" defaultRowHeight="15.75"/>
  <cols>
    <col customWidth="1" min="1" max="1" width="20.0"/>
    <col customWidth="1" min="2" max="2" width="11.75"/>
    <col customWidth="1" min="3" max="3" width="15.88"/>
    <col customWidth="1" min="4" max="4" width="27.88"/>
    <col customWidth="1" min="5" max="5" width="14.63"/>
    <col customWidth="1" min="7" max="7" width="4.63"/>
  </cols>
  <sheetData>
    <row r="1">
      <c r="A1" s="18" t="s">
        <v>147</v>
      </c>
      <c r="B1" s="19"/>
      <c r="C1" s="19"/>
      <c r="D1" s="19"/>
    </row>
    <row r="3">
      <c r="C3" s="20"/>
      <c r="D3" s="20" t="s">
        <v>148</v>
      </c>
      <c r="E3" s="20" t="s">
        <v>149</v>
      </c>
    </row>
    <row r="4">
      <c r="C4" s="20" t="s">
        <v>150</v>
      </c>
      <c r="D4" s="59">
        <v>200.0</v>
      </c>
      <c r="E4" s="59">
        <v>100.0</v>
      </c>
      <c r="F4" s="20" t="s">
        <v>151</v>
      </c>
    </row>
    <row r="5">
      <c r="A5" s="20">
        <v>151.0</v>
      </c>
      <c r="B5" s="20">
        <v>202.0</v>
      </c>
      <c r="C5" s="46" t="b">
        <f>A5=B5</f>
        <v>0</v>
      </c>
      <c r="D5" s="46" t="b">
        <f>and(A5&gt;D4,B5&gt;D4)</f>
        <v>0</v>
      </c>
      <c r="E5" s="46" t="b">
        <f>or(A5&gt;E4,B5&gt;E4)</f>
        <v>1</v>
      </c>
      <c r="F5" s="46" t="b">
        <f>not(A5=B5)</f>
        <v>1</v>
      </c>
    </row>
    <row r="7">
      <c r="A7" s="60" t="s">
        <v>152</v>
      </c>
      <c r="B7" s="46" t="b">
        <f>IFERROR(__xludf.DUMMYFUNCTION("ISURL(A7)"),TRUE)</f>
        <v>1</v>
      </c>
    </row>
    <row r="8">
      <c r="A8" s="20" t="s">
        <v>153</v>
      </c>
      <c r="B8" s="46" t="b">
        <f>IFERROR(__xludf.DUMMYFUNCTION("ISEMAIL(A8)"),TRUE)</f>
        <v>1</v>
      </c>
    </row>
    <row r="9">
      <c r="A9" s="20"/>
      <c r="B9" s="46" t="b">
        <f>isblank(A9)</f>
        <v>1</v>
      </c>
    </row>
    <row r="10">
      <c r="A10" s="20">
        <v>12.0</v>
      </c>
      <c r="B10" s="46" t="b">
        <f>istext(A10)</f>
        <v>0</v>
      </c>
    </row>
    <row r="14" ht="15.75" customHeight="1">
      <c r="A14" s="18" t="s">
        <v>154</v>
      </c>
      <c r="B14" s="19"/>
      <c r="C14" s="19"/>
      <c r="D14" s="19"/>
    </row>
    <row r="16">
      <c r="A16" s="29" t="s">
        <v>31</v>
      </c>
      <c r="B16" s="30" t="s">
        <v>32</v>
      </c>
      <c r="C16" s="30" t="s">
        <v>33</v>
      </c>
      <c r="D16" s="29" t="s">
        <v>155</v>
      </c>
      <c r="E16" s="20" t="s">
        <v>156</v>
      </c>
    </row>
    <row r="17">
      <c r="A17" s="33" t="s">
        <v>35</v>
      </c>
      <c r="B17" s="39" t="s">
        <v>36</v>
      </c>
      <c r="C17" s="39" t="s">
        <v>157</v>
      </c>
      <c r="D17" s="20" t="s">
        <v>158</v>
      </c>
      <c r="E17" s="36" t="b">
        <f>IFERROR(__xludf.DUMMYFUNCTION("ISEMAIL(D17)"),TRUE)</f>
        <v>1</v>
      </c>
    </row>
    <row r="18">
      <c r="A18" s="38" t="s">
        <v>41</v>
      </c>
      <c r="B18" s="39" t="s">
        <v>42</v>
      </c>
      <c r="C18" s="39" t="s">
        <v>159</v>
      </c>
      <c r="D18" s="20" t="s">
        <v>160</v>
      </c>
      <c r="E18" s="36" t="b">
        <f>IFERROR(__xludf.DUMMYFUNCTION("ISEMAIL(D18)"),TRUE)</f>
        <v>1</v>
      </c>
    </row>
    <row r="19">
      <c r="A19" s="38" t="s">
        <v>47</v>
      </c>
      <c r="B19" s="39" t="s">
        <v>45</v>
      </c>
      <c r="C19" s="39" t="s">
        <v>161</v>
      </c>
      <c r="D19" s="20" t="s">
        <v>162</v>
      </c>
      <c r="E19" s="36" t="b">
        <f>IFERROR(__xludf.DUMMYFUNCTION("ISEMAIL(D19)"),TRUE)</f>
        <v>1</v>
      </c>
    </row>
    <row r="20">
      <c r="A20" s="38" t="s">
        <v>51</v>
      </c>
      <c r="B20" s="39" t="s">
        <v>36</v>
      </c>
      <c r="C20" s="39" t="s">
        <v>157</v>
      </c>
      <c r="D20" s="20" t="s">
        <v>163</v>
      </c>
      <c r="E20" s="36" t="b">
        <f>IFERROR(__xludf.DUMMYFUNCTION("ISEMAIL(D20)"),TRUE)</f>
        <v>1</v>
      </c>
    </row>
    <row r="21">
      <c r="A21" s="38" t="s">
        <v>54</v>
      </c>
      <c r="B21" s="39" t="s">
        <v>39</v>
      </c>
      <c r="C21" s="39" t="s">
        <v>38</v>
      </c>
      <c r="D21" s="20" t="s">
        <v>164</v>
      </c>
      <c r="E21" s="36" t="b">
        <f>IFERROR(__xludf.DUMMYFUNCTION("ISEMAIL(D21)"),FALSE)</f>
        <v>0</v>
      </c>
    </row>
    <row r="22">
      <c r="A22" s="38" t="s">
        <v>58</v>
      </c>
      <c r="B22" s="39" t="s">
        <v>45</v>
      </c>
      <c r="C22" s="39" t="s">
        <v>59</v>
      </c>
      <c r="D22" s="20" t="s">
        <v>165</v>
      </c>
      <c r="E22" s="36" t="b">
        <f>IFERROR(__xludf.DUMMYFUNCTION("ISEMAIL(D22)"),TRUE)</f>
        <v>1</v>
      </c>
    </row>
    <row r="23">
      <c r="A23" s="38" t="s">
        <v>62</v>
      </c>
      <c r="B23" s="39" t="s">
        <v>42</v>
      </c>
      <c r="C23" s="39" t="s">
        <v>166</v>
      </c>
      <c r="D23" s="20" t="s">
        <v>167</v>
      </c>
      <c r="E23" s="36" t="b">
        <f>IFERROR(__xludf.DUMMYFUNCTION("ISEMAIL(D23)"),TRUE)</f>
        <v>1</v>
      </c>
    </row>
    <row r="24">
      <c r="A24" s="38" t="s">
        <v>66</v>
      </c>
      <c r="B24" s="39" t="s">
        <v>45</v>
      </c>
      <c r="C24" s="39" t="s">
        <v>59</v>
      </c>
      <c r="D24" s="20" t="s">
        <v>168</v>
      </c>
      <c r="E24" s="36" t="b">
        <f>IFERROR(__xludf.DUMMYFUNCTION("ISEMAIL(D24)"),TRUE)</f>
        <v>1</v>
      </c>
    </row>
    <row r="25">
      <c r="A25" s="38" t="s">
        <v>68</v>
      </c>
      <c r="B25" s="39" t="s">
        <v>36</v>
      </c>
      <c r="C25" s="39" t="s">
        <v>69</v>
      </c>
      <c r="D25" s="20" t="s">
        <v>169</v>
      </c>
      <c r="E25" s="36" t="b">
        <f>IFERROR(__xludf.DUMMYFUNCTION("ISEMAIL(D25)"),TRUE)</f>
        <v>1</v>
      </c>
    </row>
    <row r="26">
      <c r="A26" s="38" t="s">
        <v>71</v>
      </c>
      <c r="B26" s="39" t="s">
        <v>36</v>
      </c>
      <c r="C26" s="39" t="s">
        <v>69</v>
      </c>
      <c r="D26" s="20" t="s">
        <v>170</v>
      </c>
      <c r="E26" s="36" t="b">
        <f>IFERROR(__xludf.DUMMYFUNCTION("ISEMAIL(D26)"),TRUE)</f>
        <v>1</v>
      </c>
    </row>
    <row r="27">
      <c r="A27" s="38" t="s">
        <v>75</v>
      </c>
      <c r="B27" s="39" t="s">
        <v>39</v>
      </c>
      <c r="C27" s="39" t="s">
        <v>38</v>
      </c>
      <c r="D27" s="20" t="s">
        <v>171</v>
      </c>
      <c r="E27" s="36" t="b">
        <f>IFERROR(__xludf.DUMMYFUNCTION("ISEMAIL(D27)"),FALSE)</f>
        <v>0</v>
      </c>
    </row>
    <row r="28">
      <c r="A28" s="38" t="s">
        <v>78</v>
      </c>
      <c r="B28" s="39" t="s">
        <v>39</v>
      </c>
      <c r="C28" s="39" t="s">
        <v>38</v>
      </c>
      <c r="D28" s="20" t="s">
        <v>172</v>
      </c>
      <c r="E28" s="36" t="b">
        <f>IFERROR(__xludf.DUMMYFUNCTION("ISEMAIL(D28)"),TRUE)</f>
        <v>1</v>
      </c>
    </row>
    <row r="29">
      <c r="A29" s="38" t="s">
        <v>80</v>
      </c>
      <c r="B29" s="39" t="s">
        <v>39</v>
      </c>
      <c r="C29" s="39" t="s">
        <v>173</v>
      </c>
      <c r="D29" s="20" t="s">
        <v>174</v>
      </c>
      <c r="E29" s="36" t="b">
        <f>IFERROR(__xludf.DUMMYFUNCTION("ISEMAIL(D29)"),TRUE)</f>
        <v>1</v>
      </c>
    </row>
    <row r="30">
      <c r="A30" s="38" t="s">
        <v>84</v>
      </c>
      <c r="B30" s="39" t="s">
        <v>42</v>
      </c>
      <c r="C30" s="39" t="s">
        <v>81</v>
      </c>
      <c r="D30" s="20" t="s">
        <v>175</v>
      </c>
      <c r="E30" s="36" t="b">
        <f>IFERROR(__xludf.DUMMYFUNCTION("ISEMAIL(D30)"),FALSE)</f>
        <v>0</v>
      </c>
    </row>
    <row r="31">
      <c r="A31" s="38" t="s">
        <v>87</v>
      </c>
      <c r="B31" s="39" t="s">
        <v>42</v>
      </c>
      <c r="C31" s="39" t="s">
        <v>76</v>
      </c>
      <c r="D31" s="20" t="s">
        <v>176</v>
      </c>
      <c r="E31" s="36" t="b">
        <f>IFERROR(__xludf.DUMMYFUNCTION("ISEMAIL(D31)"),TRUE)</f>
        <v>1</v>
      </c>
    </row>
    <row r="32">
      <c r="A32" s="38" t="s">
        <v>88</v>
      </c>
      <c r="B32" s="39" t="s">
        <v>42</v>
      </c>
      <c r="C32" s="39" t="s">
        <v>72</v>
      </c>
      <c r="D32" s="61" t="s">
        <v>177</v>
      </c>
      <c r="E32" s="36" t="b">
        <f>IFERROR(__xludf.DUMMYFUNCTION("ISEMAIL(D32)"),FALSE)</f>
        <v>0</v>
      </c>
    </row>
    <row r="33">
      <c r="A33" s="38" t="s">
        <v>90</v>
      </c>
      <c r="B33" s="39" t="s">
        <v>42</v>
      </c>
      <c r="C33" s="39" t="s">
        <v>72</v>
      </c>
      <c r="D33" s="20" t="s">
        <v>178</v>
      </c>
      <c r="E33" s="36" t="b">
        <f>IFERROR(__xludf.DUMMYFUNCTION("ISEMAIL(D33)"),TRUE)</f>
        <v>1</v>
      </c>
    </row>
    <row r="34">
      <c r="A34" s="38" t="s">
        <v>92</v>
      </c>
      <c r="B34" s="39" t="s">
        <v>36</v>
      </c>
      <c r="C34" s="39" t="s">
        <v>179</v>
      </c>
      <c r="D34" s="20" t="s">
        <v>180</v>
      </c>
      <c r="E34" s="36" t="b">
        <f>IFERROR(__xludf.DUMMYFUNCTION("ISEMAIL(D34)"),TRUE)</f>
        <v>1</v>
      </c>
    </row>
    <row r="35">
      <c r="A35" s="38" t="s">
        <v>95</v>
      </c>
      <c r="B35" s="39" t="s">
        <v>36</v>
      </c>
      <c r="C35" s="39" t="s">
        <v>96</v>
      </c>
      <c r="D35" s="20" t="s">
        <v>181</v>
      </c>
      <c r="E35" s="36" t="b">
        <f>IFERROR(__xludf.DUMMYFUNCTION("ISEMAIL(D35)"),TRUE)</f>
        <v>1</v>
      </c>
    </row>
    <row r="36">
      <c r="A36" s="38" t="s">
        <v>98</v>
      </c>
      <c r="B36" s="39" t="s">
        <v>36</v>
      </c>
      <c r="C36" s="39" t="s">
        <v>179</v>
      </c>
      <c r="D36" s="20" t="s">
        <v>182</v>
      </c>
      <c r="E36" s="36" t="b">
        <f>IFERROR(__xludf.DUMMYFUNCTION("ISEMAIL(D36)"),FALSE)</f>
        <v>0</v>
      </c>
    </row>
    <row r="37">
      <c r="A37" s="38" t="s">
        <v>99</v>
      </c>
      <c r="B37" s="39" t="s">
        <v>39</v>
      </c>
      <c r="C37" s="39" t="s">
        <v>173</v>
      </c>
      <c r="D37" s="20" t="s">
        <v>183</v>
      </c>
      <c r="E37" s="36" t="b">
        <f>IFERROR(__xludf.DUMMYFUNCTION("ISEMAIL(D37)"),TRUE)</f>
        <v>1</v>
      </c>
    </row>
    <row r="38">
      <c r="D38" s="62"/>
    </row>
  </sheetData>
  <customSheetViews>
    <customSheetView guid="{3513031A-5A5F-4715-B275-2B5BE03DB0A9}" filter="1" showAutoFilter="1">
      <autoFilter ref="$A$16:$E$37">
        <filterColumn colId="4">
          <filters>
            <filter val="FALSE"/>
          </filters>
        </filterColumn>
      </autoFilter>
    </customSheetView>
  </customSheetViews>
  <hyperlinks>
    <hyperlink r:id="rId1" ref="A7"/>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5F4"/>
    <outlinePr summaryBelow="0" summaryRight="0"/>
  </sheetPr>
  <sheetViews>
    <sheetView workbookViewId="0"/>
  </sheetViews>
  <sheetFormatPr customHeight="1" defaultColWidth="12.63" defaultRowHeight="15.75"/>
  <cols>
    <col customWidth="1" min="2" max="2" width="15.38"/>
    <col customWidth="1" min="3" max="3" width="9.75"/>
    <col customWidth="1" min="4" max="4" width="13.63"/>
    <col customWidth="1" min="5" max="5" width="13.0"/>
    <col customWidth="1" min="6" max="6" width="15.25"/>
    <col customWidth="1" min="7" max="7" width="18.38"/>
    <col customWidth="1" min="8" max="8" width="21.63"/>
  </cols>
  <sheetData>
    <row r="1">
      <c r="A1" s="18" t="s">
        <v>12</v>
      </c>
      <c r="B1" s="19"/>
      <c r="C1" s="19"/>
      <c r="D1" s="19"/>
      <c r="E1" s="19"/>
      <c r="F1" s="19"/>
      <c r="G1" s="19"/>
    </row>
    <row r="2">
      <c r="D2" s="63" t="s">
        <v>184</v>
      </c>
      <c r="E2" s="63" t="s">
        <v>185</v>
      </c>
      <c r="F2" s="63" t="s">
        <v>186</v>
      </c>
      <c r="G2" s="63" t="s">
        <v>187</v>
      </c>
      <c r="H2" s="63" t="s">
        <v>188</v>
      </c>
    </row>
    <row r="4">
      <c r="A4" s="29" t="s">
        <v>31</v>
      </c>
      <c r="B4" s="30" t="s">
        <v>33</v>
      </c>
      <c r="C4" s="29" t="s">
        <v>34</v>
      </c>
      <c r="D4" s="31"/>
      <c r="E4" s="31"/>
      <c r="F4" s="31"/>
      <c r="G4" s="31"/>
      <c r="H4" s="31"/>
    </row>
    <row r="5">
      <c r="A5" s="38" t="s">
        <v>54</v>
      </c>
      <c r="B5" s="39" t="s">
        <v>38</v>
      </c>
      <c r="C5" s="35">
        <v>24700.0</v>
      </c>
      <c r="D5" s="47" t="str">
        <f t="shared" ref="D5:D15" si="1">IF(C5&gt;100000,"High","")</f>
        <v/>
      </c>
      <c r="E5" s="36" t="str">
        <f t="shared" ref="E5:E15" si="2">IF(B5="Accountant","Check","")</f>
        <v>Check</v>
      </c>
      <c r="F5" s="36" t="str">
        <f t="shared" ref="F5:F15" si="3">if(and(B5="accountant",C5&gt;25000),"Check","")</f>
        <v/>
      </c>
      <c r="G5" s="36" t="str">
        <f t="shared" ref="G5:G15" si="4">if(or(B5="accountant",C5&gt;50000),"Check","")</f>
        <v>Check</v>
      </c>
      <c r="H5" s="64">
        <f t="shared" ref="H5:H15" si="5">if(or(B5="accountant",C5&gt;50000),C5,"")</f>
        <v>24700</v>
      </c>
    </row>
    <row r="6">
      <c r="A6" s="38" t="s">
        <v>75</v>
      </c>
      <c r="B6" s="39" t="s">
        <v>38</v>
      </c>
      <c r="C6" s="35">
        <v>26900.0</v>
      </c>
      <c r="D6" s="47" t="str">
        <f t="shared" si="1"/>
        <v/>
      </c>
      <c r="E6" s="36" t="str">
        <f t="shared" si="2"/>
        <v>Check</v>
      </c>
      <c r="F6" s="36" t="str">
        <f t="shared" si="3"/>
        <v>Check</v>
      </c>
      <c r="G6" s="36" t="str">
        <f t="shared" si="4"/>
        <v>Check</v>
      </c>
      <c r="H6" s="64">
        <f t="shared" si="5"/>
        <v>26900</v>
      </c>
    </row>
    <row r="7">
      <c r="A7" s="38" t="s">
        <v>78</v>
      </c>
      <c r="B7" s="39" t="s">
        <v>38</v>
      </c>
      <c r="C7" s="35">
        <v>47200.0</v>
      </c>
      <c r="D7" s="47" t="str">
        <f t="shared" si="1"/>
        <v/>
      </c>
      <c r="E7" s="36" t="str">
        <f t="shared" si="2"/>
        <v>Check</v>
      </c>
      <c r="F7" s="36" t="str">
        <f t="shared" si="3"/>
        <v>Check</v>
      </c>
      <c r="G7" s="36" t="str">
        <f t="shared" si="4"/>
        <v>Check</v>
      </c>
      <c r="H7" s="64">
        <f t="shared" si="5"/>
        <v>47200</v>
      </c>
    </row>
    <row r="8">
      <c r="A8" s="38" t="s">
        <v>80</v>
      </c>
      <c r="B8" s="39" t="s">
        <v>173</v>
      </c>
      <c r="C8" s="35">
        <v>29800.0</v>
      </c>
      <c r="D8" s="47" t="str">
        <f t="shared" si="1"/>
        <v/>
      </c>
      <c r="E8" s="36" t="str">
        <f t="shared" si="2"/>
        <v/>
      </c>
      <c r="F8" s="36" t="str">
        <f t="shared" si="3"/>
        <v/>
      </c>
      <c r="G8" s="36" t="str">
        <f t="shared" si="4"/>
        <v/>
      </c>
      <c r="H8" s="36" t="str">
        <f t="shared" si="5"/>
        <v/>
      </c>
    </row>
    <row r="9">
      <c r="A9" s="38" t="s">
        <v>99</v>
      </c>
      <c r="B9" s="39" t="s">
        <v>173</v>
      </c>
      <c r="C9" s="35">
        <v>49727.0</v>
      </c>
      <c r="D9" s="47" t="str">
        <f t="shared" si="1"/>
        <v/>
      </c>
      <c r="E9" s="36" t="str">
        <f t="shared" si="2"/>
        <v/>
      </c>
      <c r="F9" s="36" t="str">
        <f t="shared" si="3"/>
        <v/>
      </c>
      <c r="G9" s="36" t="str">
        <f t="shared" si="4"/>
        <v/>
      </c>
      <c r="H9" s="36" t="str">
        <f t="shared" si="5"/>
        <v/>
      </c>
    </row>
    <row r="10">
      <c r="A10" s="38" t="s">
        <v>100</v>
      </c>
      <c r="B10" s="39" t="s">
        <v>189</v>
      </c>
      <c r="C10" s="35">
        <v>49000.0</v>
      </c>
      <c r="D10" s="47" t="str">
        <f t="shared" si="1"/>
        <v/>
      </c>
      <c r="E10" s="36" t="str">
        <f t="shared" si="2"/>
        <v/>
      </c>
      <c r="F10" s="36" t="str">
        <f t="shared" si="3"/>
        <v/>
      </c>
      <c r="G10" s="36" t="str">
        <f t="shared" si="4"/>
        <v/>
      </c>
      <c r="H10" s="36" t="str">
        <f t="shared" si="5"/>
        <v/>
      </c>
    </row>
    <row r="11">
      <c r="A11" s="38" t="s">
        <v>79</v>
      </c>
      <c r="B11" s="39" t="s">
        <v>48</v>
      </c>
      <c r="C11" s="35">
        <v>65270.0</v>
      </c>
      <c r="D11" s="47" t="str">
        <f t="shared" si="1"/>
        <v/>
      </c>
      <c r="E11" s="36" t="str">
        <f t="shared" si="2"/>
        <v/>
      </c>
      <c r="F11" s="36" t="str">
        <f t="shared" si="3"/>
        <v/>
      </c>
      <c r="G11" s="36" t="str">
        <f t="shared" si="4"/>
        <v>Check</v>
      </c>
      <c r="H11" s="64">
        <f t="shared" si="5"/>
        <v>65270</v>
      </c>
    </row>
    <row r="12">
      <c r="A12" s="38" t="s">
        <v>77</v>
      </c>
      <c r="B12" s="39" t="s">
        <v>60</v>
      </c>
      <c r="C12" s="35">
        <v>78600.0</v>
      </c>
      <c r="D12" s="47" t="str">
        <f t="shared" si="1"/>
        <v/>
      </c>
      <c r="E12" s="36" t="str">
        <f t="shared" si="2"/>
        <v/>
      </c>
      <c r="F12" s="36" t="str">
        <f t="shared" si="3"/>
        <v/>
      </c>
      <c r="G12" s="36" t="str">
        <f t="shared" si="4"/>
        <v>Check</v>
      </c>
      <c r="H12" s="64">
        <f t="shared" si="5"/>
        <v>78600</v>
      </c>
    </row>
    <row r="13">
      <c r="A13" s="38" t="s">
        <v>104</v>
      </c>
      <c r="B13" s="39" t="s">
        <v>40</v>
      </c>
      <c r="C13" s="35">
        <v>145000.0</v>
      </c>
      <c r="D13" s="47" t="str">
        <f t="shared" si="1"/>
        <v>High</v>
      </c>
      <c r="E13" s="36" t="str">
        <f t="shared" si="2"/>
        <v/>
      </c>
      <c r="F13" s="36" t="str">
        <f t="shared" si="3"/>
        <v/>
      </c>
      <c r="G13" s="36" t="str">
        <f t="shared" si="4"/>
        <v>Check</v>
      </c>
      <c r="H13" s="64">
        <f t="shared" si="5"/>
        <v>145000</v>
      </c>
    </row>
    <row r="14">
      <c r="A14" s="38" t="s">
        <v>67</v>
      </c>
      <c r="B14" s="39" t="s">
        <v>63</v>
      </c>
      <c r="C14" s="35">
        <v>86500.0</v>
      </c>
      <c r="D14" s="47" t="str">
        <f t="shared" si="1"/>
        <v/>
      </c>
      <c r="E14" s="36" t="str">
        <f t="shared" si="2"/>
        <v/>
      </c>
      <c r="F14" s="36" t="str">
        <f t="shared" si="3"/>
        <v/>
      </c>
      <c r="G14" s="36" t="str">
        <f t="shared" si="4"/>
        <v>Check</v>
      </c>
      <c r="H14" s="64">
        <f t="shared" si="5"/>
        <v>86500</v>
      </c>
    </row>
    <row r="15">
      <c r="A15" s="38" t="s">
        <v>61</v>
      </c>
      <c r="B15" s="39" t="s">
        <v>55</v>
      </c>
      <c r="C15" s="35">
        <v>108357.0</v>
      </c>
      <c r="D15" s="47" t="str">
        <f t="shared" si="1"/>
        <v>High</v>
      </c>
      <c r="E15" s="36" t="str">
        <f t="shared" si="2"/>
        <v/>
      </c>
      <c r="F15" s="36" t="str">
        <f t="shared" si="3"/>
        <v/>
      </c>
      <c r="G15" s="36" t="str">
        <f t="shared" si="4"/>
        <v>Check</v>
      </c>
      <c r="H15" s="64">
        <f t="shared" si="5"/>
        <v>108357</v>
      </c>
    </row>
    <row r="16">
      <c r="A16" s="38"/>
      <c r="B16" s="39"/>
      <c r="C16" s="35"/>
    </row>
    <row r="17">
      <c r="A17" s="38"/>
      <c r="B17" s="39"/>
      <c r="C17" s="35"/>
    </row>
    <row r="18">
      <c r="A18" s="38"/>
      <c r="B18" s="39"/>
      <c r="C18" s="65" t="s">
        <v>113</v>
      </c>
      <c r="D18" s="66">
        <f>AVERAGE(C22:C32)</f>
        <v>64641.27273</v>
      </c>
    </row>
    <row r="19">
      <c r="D19" s="63" t="s">
        <v>190</v>
      </c>
    </row>
    <row r="21">
      <c r="A21" s="29" t="s">
        <v>31</v>
      </c>
      <c r="B21" s="30" t="s">
        <v>33</v>
      </c>
      <c r="C21" s="29" t="s">
        <v>34</v>
      </c>
      <c r="D21" s="31"/>
    </row>
    <row r="22">
      <c r="A22" s="38" t="s">
        <v>54</v>
      </c>
      <c r="B22" s="39" t="s">
        <v>38</v>
      </c>
      <c r="C22" s="35">
        <v>24700.0</v>
      </c>
      <c r="D22" s="47" t="str">
        <f t="shared" ref="D22:D32" si="6">if(C22&gt;$D$18,"High","")</f>
        <v/>
      </c>
    </row>
    <row r="23">
      <c r="A23" s="38" t="s">
        <v>75</v>
      </c>
      <c r="B23" s="39" t="s">
        <v>38</v>
      </c>
      <c r="C23" s="35">
        <v>26900.0</v>
      </c>
      <c r="D23" s="47" t="str">
        <f t="shared" si="6"/>
        <v/>
      </c>
    </row>
    <row r="24">
      <c r="A24" s="38" t="s">
        <v>78</v>
      </c>
      <c r="B24" s="39" t="s">
        <v>38</v>
      </c>
      <c r="C24" s="35">
        <v>47200.0</v>
      </c>
      <c r="D24" s="47" t="str">
        <f t="shared" si="6"/>
        <v/>
      </c>
    </row>
    <row r="25">
      <c r="A25" s="38" t="s">
        <v>80</v>
      </c>
      <c r="B25" s="39" t="s">
        <v>173</v>
      </c>
      <c r="C25" s="35">
        <v>29800.0</v>
      </c>
      <c r="D25" s="47" t="str">
        <f t="shared" si="6"/>
        <v/>
      </c>
    </row>
    <row r="26">
      <c r="A26" s="38" t="s">
        <v>99</v>
      </c>
      <c r="B26" s="39" t="s">
        <v>173</v>
      </c>
      <c r="C26" s="35">
        <v>49727.0</v>
      </c>
      <c r="D26" s="47" t="str">
        <f t="shared" si="6"/>
        <v/>
      </c>
    </row>
    <row r="27">
      <c r="A27" s="38" t="s">
        <v>100</v>
      </c>
      <c r="B27" s="39" t="s">
        <v>189</v>
      </c>
      <c r="C27" s="35">
        <v>49000.0</v>
      </c>
      <c r="D27" s="47" t="str">
        <f t="shared" si="6"/>
        <v/>
      </c>
    </row>
    <row r="28">
      <c r="A28" s="38" t="s">
        <v>79</v>
      </c>
      <c r="B28" s="39" t="s">
        <v>48</v>
      </c>
      <c r="C28" s="35">
        <v>65270.0</v>
      </c>
      <c r="D28" s="47" t="str">
        <f t="shared" si="6"/>
        <v>High</v>
      </c>
    </row>
    <row r="29">
      <c r="A29" s="38" t="s">
        <v>77</v>
      </c>
      <c r="B29" s="39" t="s">
        <v>60</v>
      </c>
      <c r="C29" s="35">
        <v>78600.0</v>
      </c>
      <c r="D29" s="47" t="str">
        <f t="shared" si="6"/>
        <v>High</v>
      </c>
    </row>
    <row r="30">
      <c r="A30" s="38" t="s">
        <v>104</v>
      </c>
      <c r="B30" s="39" t="s">
        <v>40</v>
      </c>
      <c r="C30" s="35">
        <v>145000.0</v>
      </c>
      <c r="D30" s="47" t="str">
        <f t="shared" si="6"/>
        <v>High</v>
      </c>
    </row>
    <row r="31">
      <c r="A31" s="38" t="s">
        <v>67</v>
      </c>
      <c r="B31" s="39" t="s">
        <v>63</v>
      </c>
      <c r="C31" s="35">
        <v>86500.0</v>
      </c>
      <c r="D31" s="47" t="str">
        <f t="shared" si="6"/>
        <v>High</v>
      </c>
    </row>
    <row r="32">
      <c r="A32" s="38" t="s">
        <v>61</v>
      </c>
      <c r="B32" s="39" t="s">
        <v>55</v>
      </c>
      <c r="C32" s="35">
        <v>108357.0</v>
      </c>
      <c r="D32" s="47" t="str">
        <f t="shared" si="6"/>
        <v>High</v>
      </c>
    </row>
    <row r="33">
      <c r="A33" s="38"/>
      <c r="B33" s="39"/>
      <c r="C33" s="35"/>
    </row>
    <row r="34">
      <c r="A34" s="33"/>
      <c r="B34" s="39"/>
      <c r="C34" s="35"/>
    </row>
    <row r="35">
      <c r="A35" s="38"/>
      <c r="B35" s="39"/>
      <c r="C35" s="35"/>
    </row>
    <row r="36">
      <c r="A36" s="38"/>
      <c r="B36" s="39"/>
      <c r="C36" s="35"/>
    </row>
    <row r="37">
      <c r="A37" s="38"/>
      <c r="B37" s="39"/>
      <c r="C37" s="35"/>
    </row>
    <row r="38">
      <c r="A38" s="38"/>
      <c r="B38" s="39"/>
      <c r="C38" s="35"/>
    </row>
    <row r="39">
      <c r="A39" s="38"/>
      <c r="B39" s="39"/>
      <c r="C39" s="35"/>
    </row>
    <row r="40">
      <c r="A40" s="38"/>
      <c r="B40" s="39"/>
      <c r="C40" s="35"/>
    </row>
    <row r="41">
      <c r="A41" s="38"/>
      <c r="B41" s="39"/>
      <c r="C41" s="35"/>
    </row>
    <row r="42">
      <c r="A42" s="38"/>
      <c r="B42" s="39"/>
      <c r="C42" s="35"/>
    </row>
    <row r="43">
      <c r="A43" s="38"/>
      <c r="B43" s="39"/>
      <c r="C43" s="35"/>
    </row>
    <row r="44">
      <c r="A44" s="38"/>
      <c r="B44" s="39"/>
      <c r="C44" s="35"/>
    </row>
    <row r="45">
      <c r="A45" s="38"/>
      <c r="B45" s="39"/>
      <c r="C45" s="35"/>
    </row>
  </sheetData>
  <mergeCells count="6">
    <mergeCell ref="D2:D4"/>
    <mergeCell ref="E2:E4"/>
    <mergeCell ref="F2:F4"/>
    <mergeCell ref="G2:G4"/>
    <mergeCell ref="H2:H4"/>
    <mergeCell ref="D19:D2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5F4"/>
    <outlinePr summaryBelow="0" summaryRight="0"/>
  </sheetPr>
  <sheetViews>
    <sheetView showGridLines="0" workbookViewId="0"/>
  </sheetViews>
  <sheetFormatPr customHeight="1" defaultColWidth="12.63" defaultRowHeight="15.75"/>
  <cols>
    <col customWidth="1" min="2" max="2" width="15.38"/>
    <col customWidth="1" min="3" max="3" width="9.75"/>
    <col customWidth="1" min="4" max="4" width="30.75"/>
    <col customWidth="1" min="5" max="5" width="17.38"/>
    <col customWidth="1" min="6" max="6" width="18.38"/>
  </cols>
  <sheetData>
    <row r="1">
      <c r="A1" s="18" t="s">
        <v>191</v>
      </c>
      <c r="B1" s="19"/>
      <c r="C1" s="19"/>
      <c r="D1" s="19"/>
      <c r="E1" s="19"/>
      <c r="F1" s="19"/>
    </row>
    <row r="2">
      <c r="A2" s="33" t="s">
        <v>192</v>
      </c>
      <c r="B2" s="39"/>
      <c r="C2" s="39"/>
      <c r="D2" s="39"/>
      <c r="E2" s="39"/>
      <c r="F2" s="39"/>
    </row>
    <row r="3">
      <c r="A3" s="38"/>
      <c r="B3" s="39"/>
      <c r="C3" s="65" t="s">
        <v>193</v>
      </c>
      <c r="D3" s="67">
        <v>49000.0</v>
      </c>
    </row>
    <row r="4">
      <c r="D4" s="68" t="s">
        <v>194</v>
      </c>
      <c r="E4" s="69"/>
    </row>
    <row r="6">
      <c r="A6" s="70"/>
      <c r="B6" s="71"/>
      <c r="C6" s="70"/>
      <c r="D6" s="72"/>
      <c r="E6" s="72"/>
    </row>
    <row r="7">
      <c r="A7" s="29" t="s">
        <v>31</v>
      </c>
      <c r="B7" s="30" t="s">
        <v>33</v>
      </c>
      <c r="C7" s="29" t="s">
        <v>34</v>
      </c>
      <c r="D7" s="73" t="s">
        <v>195</v>
      </c>
      <c r="E7" s="74" t="s">
        <v>196</v>
      </c>
    </row>
    <row r="8">
      <c r="A8" s="75" t="s">
        <v>54</v>
      </c>
      <c r="B8" s="76" t="s">
        <v>38</v>
      </c>
      <c r="C8" s="77">
        <v>24700.0</v>
      </c>
      <c r="D8" s="78" t="str">
        <f t="shared" ref="D8:D18" si="1">if(C8&gt;$D$3,C8-$D$3,if(C8&lt;$D$3,"😒","😐"))</f>
        <v>😒</v>
      </c>
      <c r="E8" s="79" t="str">
        <f t="shared" ref="E8:E18" si="2">ifs(C8&gt;$D$3,C8-$D$3,C8&lt;$D$3,"😒",true,"😐")</f>
        <v>😒</v>
      </c>
    </row>
    <row r="9">
      <c r="A9" s="80" t="s">
        <v>75</v>
      </c>
      <c r="B9" s="81" t="s">
        <v>38</v>
      </c>
      <c r="C9" s="82">
        <v>26900.0</v>
      </c>
      <c r="D9" s="78" t="str">
        <f t="shared" si="1"/>
        <v>😒</v>
      </c>
      <c r="E9" s="79" t="str">
        <f t="shared" si="2"/>
        <v>😒</v>
      </c>
    </row>
    <row r="10">
      <c r="A10" s="80" t="s">
        <v>78</v>
      </c>
      <c r="B10" s="81" t="s">
        <v>38</v>
      </c>
      <c r="C10" s="82">
        <v>47200.0</v>
      </c>
      <c r="D10" s="78" t="str">
        <f t="shared" si="1"/>
        <v>😒</v>
      </c>
      <c r="E10" s="79" t="str">
        <f t="shared" si="2"/>
        <v>😒</v>
      </c>
    </row>
    <row r="11">
      <c r="A11" s="80" t="s">
        <v>80</v>
      </c>
      <c r="B11" s="81" t="s">
        <v>173</v>
      </c>
      <c r="C11" s="82">
        <v>29800.0</v>
      </c>
      <c r="D11" s="78" t="str">
        <f t="shared" si="1"/>
        <v>😒</v>
      </c>
      <c r="E11" s="79" t="str">
        <f t="shared" si="2"/>
        <v>😒</v>
      </c>
    </row>
    <row r="12">
      <c r="A12" s="80" t="s">
        <v>99</v>
      </c>
      <c r="B12" s="81" t="s">
        <v>173</v>
      </c>
      <c r="C12" s="82">
        <v>49727.0</v>
      </c>
      <c r="D12" s="78">
        <f t="shared" si="1"/>
        <v>727</v>
      </c>
      <c r="E12" s="79">
        <f t="shared" si="2"/>
        <v>727</v>
      </c>
    </row>
    <row r="13">
      <c r="A13" s="80" t="s">
        <v>100</v>
      </c>
      <c r="B13" s="81" t="s">
        <v>189</v>
      </c>
      <c r="C13" s="82">
        <v>49000.0</v>
      </c>
      <c r="D13" s="78" t="str">
        <f t="shared" si="1"/>
        <v>😐</v>
      </c>
      <c r="E13" s="79" t="str">
        <f t="shared" si="2"/>
        <v>😐</v>
      </c>
    </row>
    <row r="14">
      <c r="A14" s="80" t="s">
        <v>79</v>
      </c>
      <c r="B14" s="81" t="s">
        <v>48</v>
      </c>
      <c r="C14" s="82">
        <v>65270.0</v>
      </c>
      <c r="D14" s="78">
        <f t="shared" si="1"/>
        <v>16270</v>
      </c>
      <c r="E14" s="79">
        <f t="shared" si="2"/>
        <v>16270</v>
      </c>
    </row>
    <row r="15">
      <c r="A15" s="80" t="s">
        <v>77</v>
      </c>
      <c r="B15" s="81" t="s">
        <v>60</v>
      </c>
      <c r="C15" s="82">
        <v>78600.0</v>
      </c>
      <c r="D15" s="78">
        <f t="shared" si="1"/>
        <v>29600</v>
      </c>
      <c r="E15" s="79">
        <f t="shared" si="2"/>
        <v>29600</v>
      </c>
    </row>
    <row r="16">
      <c r="A16" s="80" t="s">
        <v>104</v>
      </c>
      <c r="B16" s="81" t="s">
        <v>40</v>
      </c>
      <c r="C16" s="82">
        <v>145000.0</v>
      </c>
      <c r="D16" s="78">
        <f t="shared" si="1"/>
        <v>96000</v>
      </c>
      <c r="E16" s="79">
        <f t="shared" si="2"/>
        <v>96000</v>
      </c>
    </row>
    <row r="17">
      <c r="A17" s="80" t="s">
        <v>67</v>
      </c>
      <c r="B17" s="81" t="s">
        <v>63</v>
      </c>
      <c r="C17" s="82">
        <v>86500.0</v>
      </c>
      <c r="D17" s="78">
        <f t="shared" si="1"/>
        <v>37500</v>
      </c>
      <c r="E17" s="79">
        <f t="shared" si="2"/>
        <v>37500</v>
      </c>
    </row>
    <row r="18">
      <c r="A18" s="80" t="s">
        <v>61</v>
      </c>
      <c r="B18" s="81" t="s">
        <v>55</v>
      </c>
      <c r="C18" s="82">
        <v>108357.0</v>
      </c>
      <c r="D18" s="78">
        <f t="shared" si="1"/>
        <v>59357</v>
      </c>
      <c r="E18" s="79">
        <f t="shared" si="2"/>
        <v>59357</v>
      </c>
    </row>
    <row r="19">
      <c r="A19" s="38"/>
      <c r="B19" s="39"/>
      <c r="C19" s="35"/>
    </row>
    <row r="20">
      <c r="A20" s="33"/>
      <c r="B20" s="39"/>
      <c r="C20" s="35"/>
    </row>
    <row r="21">
      <c r="A21" s="38"/>
      <c r="B21" s="39"/>
      <c r="C21" s="35"/>
    </row>
    <row r="22">
      <c r="A22" s="38"/>
      <c r="B22" s="39"/>
      <c r="C22" s="35"/>
    </row>
    <row r="23">
      <c r="A23" s="38"/>
      <c r="B23" s="39"/>
      <c r="C23" s="35"/>
    </row>
    <row r="24">
      <c r="A24" s="38"/>
      <c r="B24" s="39"/>
      <c r="C24" s="35"/>
    </row>
    <row r="25">
      <c r="A25" s="38"/>
      <c r="B25" s="39"/>
      <c r="C25" s="35"/>
    </row>
    <row r="26">
      <c r="A26" s="38"/>
      <c r="B26" s="39"/>
      <c r="C26" s="35"/>
    </row>
    <row r="27">
      <c r="A27" s="38"/>
      <c r="B27" s="39"/>
      <c r="C27" s="35"/>
    </row>
    <row r="28">
      <c r="A28" s="38"/>
      <c r="B28" s="39"/>
      <c r="C28" s="35"/>
    </row>
    <row r="29">
      <c r="A29" s="38"/>
      <c r="B29" s="39"/>
      <c r="C29" s="35"/>
    </row>
    <row r="30">
      <c r="A30" s="38"/>
      <c r="B30" s="39"/>
      <c r="C30" s="35"/>
    </row>
    <row r="31">
      <c r="A31" s="38"/>
      <c r="B31" s="39"/>
      <c r="C31" s="35"/>
    </row>
  </sheetData>
  <mergeCells count="1">
    <mergeCell ref="D4:E6"/>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5F4"/>
    <outlinePr summaryBelow="0" summaryRight="0"/>
  </sheetPr>
  <sheetViews>
    <sheetView showGridLines="0" workbookViewId="0"/>
  </sheetViews>
  <sheetFormatPr customHeight="1" defaultColWidth="12.63" defaultRowHeight="15.75" outlineLevelRow="1"/>
  <cols>
    <col customWidth="1" min="2" max="2" width="11.5"/>
    <col customWidth="1" min="3" max="3" width="16.13"/>
    <col customWidth="1" min="5" max="5" width="24.0"/>
    <col customWidth="1" min="9" max="9" width="58.13"/>
    <col customWidth="1" min="10" max="10" width="38.25"/>
  </cols>
  <sheetData>
    <row r="1">
      <c r="A1" s="18" t="s">
        <v>197</v>
      </c>
      <c r="B1" s="19"/>
      <c r="C1" s="19"/>
      <c r="D1" s="19"/>
      <c r="E1" s="19"/>
      <c r="J1" s="83"/>
    </row>
    <row r="2" ht="10.5" customHeight="1">
      <c r="J2" s="83"/>
    </row>
    <row r="3" ht="10.5" customHeight="1"/>
    <row r="4">
      <c r="A4" s="7" t="s">
        <v>31</v>
      </c>
      <c r="B4" s="7" t="s">
        <v>198</v>
      </c>
      <c r="C4" s="7" t="s">
        <v>199</v>
      </c>
      <c r="D4" s="32" t="s">
        <v>200</v>
      </c>
      <c r="E4" s="84" t="s">
        <v>201</v>
      </c>
    </row>
    <row r="5">
      <c r="A5" s="85" t="s">
        <v>54</v>
      </c>
      <c r="B5" s="86">
        <v>24700.0</v>
      </c>
      <c r="C5" s="86">
        <v>24700.0</v>
      </c>
      <c r="D5" s="87">
        <f t="shared" ref="D5:D15" si="1">B5/C5-1</f>
        <v>0</v>
      </c>
      <c r="E5" s="87">
        <f t="shared" ref="E5:E15" si="2">IFERROR(B5/C5-1,"")</f>
        <v>0</v>
      </c>
    </row>
    <row r="6">
      <c r="A6" s="88" t="s">
        <v>75</v>
      </c>
      <c r="B6" s="89">
        <v>26900.0</v>
      </c>
      <c r="C6" s="89"/>
      <c r="D6" s="87" t="str">
        <f t="shared" si="1"/>
        <v>#DIV/0!</v>
      </c>
      <c r="E6" s="87" t="str">
        <f t="shared" si="2"/>
        <v/>
      </c>
    </row>
    <row r="7">
      <c r="A7" s="88" t="s">
        <v>78</v>
      </c>
      <c r="B7" s="89">
        <v>47200.0</v>
      </c>
      <c r="C7" s="89">
        <v>45000.0</v>
      </c>
      <c r="D7" s="87">
        <f t="shared" si="1"/>
        <v>0.04888888889</v>
      </c>
      <c r="E7" s="87">
        <f t="shared" si="2"/>
        <v>0.04888888889</v>
      </c>
    </row>
    <row r="8">
      <c r="A8" s="88" t="s">
        <v>80</v>
      </c>
      <c r="B8" s="89">
        <v>29800.0</v>
      </c>
      <c r="C8" s="89">
        <v>25000.0</v>
      </c>
      <c r="D8" s="87">
        <f t="shared" si="1"/>
        <v>0.192</v>
      </c>
      <c r="E8" s="87">
        <f t="shared" si="2"/>
        <v>0.192</v>
      </c>
    </row>
    <row r="9">
      <c r="A9" s="88" t="s">
        <v>99</v>
      </c>
      <c r="B9" s="89">
        <v>49727.0</v>
      </c>
      <c r="C9" s="89">
        <v>49000.0</v>
      </c>
      <c r="D9" s="87">
        <f t="shared" si="1"/>
        <v>0.01483673469</v>
      </c>
      <c r="E9" s="87">
        <f t="shared" si="2"/>
        <v>0.01483673469</v>
      </c>
    </row>
    <row r="10">
      <c r="A10" s="88" t="s">
        <v>100</v>
      </c>
      <c r="B10" s="89">
        <v>49000.0</v>
      </c>
      <c r="C10" s="89">
        <v>50000.0</v>
      </c>
      <c r="D10" s="87">
        <f t="shared" si="1"/>
        <v>-0.02</v>
      </c>
      <c r="E10" s="87">
        <f t="shared" si="2"/>
        <v>-0.02</v>
      </c>
    </row>
    <row r="11">
      <c r="A11" s="88" t="s">
        <v>79</v>
      </c>
      <c r="B11" s="89">
        <v>65270.0</v>
      </c>
      <c r="C11" s="89">
        <v>58000.0</v>
      </c>
      <c r="D11" s="87">
        <f t="shared" si="1"/>
        <v>0.1253448276</v>
      </c>
      <c r="E11" s="87">
        <f t="shared" si="2"/>
        <v>0.1253448276</v>
      </c>
      <c r="F11" s="90"/>
    </row>
    <row r="12">
      <c r="A12" s="88" t="s">
        <v>77</v>
      </c>
      <c r="B12" s="89">
        <v>78600.0</v>
      </c>
      <c r="C12" s="89">
        <v>0.0</v>
      </c>
      <c r="D12" s="87" t="str">
        <f t="shared" si="1"/>
        <v>#DIV/0!</v>
      </c>
      <c r="E12" s="87" t="str">
        <f t="shared" si="2"/>
        <v/>
      </c>
      <c r="J12" s="83"/>
    </row>
    <row r="13">
      <c r="A13" s="91" t="s">
        <v>104</v>
      </c>
      <c r="B13" s="89">
        <v>145000.0</v>
      </c>
      <c r="C13" s="92" t="s">
        <v>202</v>
      </c>
      <c r="D13" s="87" t="str">
        <f t="shared" si="1"/>
        <v>#VALUE!</v>
      </c>
      <c r="E13" s="87" t="str">
        <f t="shared" si="2"/>
        <v/>
      </c>
      <c r="J13" s="83"/>
    </row>
    <row r="14">
      <c r="A14" s="91" t="s">
        <v>67</v>
      </c>
      <c r="B14" s="89">
        <v>86500.0</v>
      </c>
      <c r="C14" s="89">
        <v>80000.0</v>
      </c>
      <c r="D14" s="87">
        <f t="shared" si="1"/>
        <v>0.08125</v>
      </c>
      <c r="E14" s="87">
        <f t="shared" si="2"/>
        <v>0.08125</v>
      </c>
      <c r="J14" s="83"/>
    </row>
    <row r="15">
      <c r="A15" s="91" t="s">
        <v>61</v>
      </c>
      <c r="B15" s="89">
        <v>108357.0</v>
      </c>
      <c r="C15" s="89">
        <v>100000.0</v>
      </c>
      <c r="D15" s="87">
        <f t="shared" si="1"/>
        <v>0.08357</v>
      </c>
      <c r="E15" s="87">
        <f t="shared" si="2"/>
        <v>0.08357</v>
      </c>
      <c r="J15" s="83"/>
    </row>
    <row r="16">
      <c r="J16" s="83"/>
    </row>
    <row r="17" ht="24.0" customHeight="1" outlineLevel="1">
      <c r="A17" s="93" t="s">
        <v>203</v>
      </c>
      <c r="B17" s="93" t="s">
        <v>204</v>
      </c>
      <c r="C17" s="93" t="s">
        <v>205</v>
      </c>
      <c r="D17" s="93"/>
      <c r="E17" s="93"/>
      <c r="J17" s="83"/>
    </row>
    <row r="18" outlineLevel="1">
      <c r="A18" s="94" t="str">
        <f>100/0</f>
        <v>#DIV/0!</v>
      </c>
      <c r="B18" s="95" t="str">
        <f t="shared" ref="B18:B23" si="3">formulatext(A18)</f>
        <v>=100/0</v>
      </c>
      <c r="C18" s="96" t="s">
        <v>206</v>
      </c>
      <c r="D18" s="97"/>
      <c r="E18" s="97"/>
      <c r="J18" s="83"/>
    </row>
    <row r="19" outlineLevel="1">
      <c r="A19" s="98" t="str">
        <f>100*"one"</f>
        <v>#VALUE!</v>
      </c>
      <c r="B19" s="98" t="str">
        <f t="shared" si="3"/>
        <v>=100*"one"</v>
      </c>
      <c r="C19" s="99" t="s">
        <v>207</v>
      </c>
      <c r="D19" s="100"/>
      <c r="E19" s="100"/>
      <c r="J19" s="83"/>
    </row>
    <row r="20" outlineLevel="1">
      <c r="A20" s="98" t="str">
        <f t="array" ref="A20:A21">sort(A5:A15)</f>
        <v>#REF!</v>
      </c>
      <c r="B20" s="98" t="str">
        <f t="shared" si="3"/>
        <v>=sort(A5:A15)</v>
      </c>
      <c r="C20" s="99" t="s">
        <v>208</v>
      </c>
      <c r="D20" s="100"/>
      <c r="E20" s="100"/>
      <c r="J20" s="83"/>
    </row>
    <row r="21" outlineLevel="1">
      <c r="A21" s="101" t="str">
        <f>total(1,2)</f>
        <v>#NAME?</v>
      </c>
      <c r="B21" s="98" t="str">
        <f t="shared" si="3"/>
        <v>=total(1,2)</v>
      </c>
      <c r="C21" s="99" t="s">
        <v>209</v>
      </c>
      <c r="D21" s="100"/>
      <c r="E21" s="100"/>
      <c r="J21" s="83"/>
    </row>
    <row r="22" outlineLevel="1">
      <c r="A22" s="101" t="str">
        <f>vlookup("LG",A5:B15,2,false)</f>
        <v>#N/A</v>
      </c>
      <c r="B22" s="98" t="str">
        <f t="shared" si="3"/>
        <v>=vlookup("LG",A5:B15,2,false)</v>
      </c>
      <c r="C22" s="102" t="s">
        <v>210</v>
      </c>
      <c r="D22" s="100"/>
      <c r="E22" s="100"/>
      <c r="J22" s="83"/>
    </row>
    <row r="23" outlineLevel="1">
      <c r="A23" s="103" t="str">
        <f>sum(B5 B10 )</f>
        <v>#ERROR!</v>
      </c>
      <c r="B23" s="104" t="str">
        <f t="shared" si="3"/>
        <v>=sum(B5 B10 )</v>
      </c>
      <c r="C23" s="105" t="s">
        <v>211</v>
      </c>
      <c r="D23" s="106"/>
      <c r="E23" s="106"/>
      <c r="J23" s="83"/>
    </row>
    <row r="24">
      <c r="C24" s="107"/>
      <c r="J24" s="83"/>
    </row>
    <row r="25">
      <c r="C25" s="107"/>
      <c r="J25" s="83"/>
    </row>
    <row r="26">
      <c r="C26" s="107"/>
      <c r="J26" s="83"/>
    </row>
    <row r="27">
      <c r="J27" s="83"/>
    </row>
    <row r="28">
      <c r="J28" s="83"/>
    </row>
    <row r="29">
      <c r="J29" s="83"/>
    </row>
    <row r="30">
      <c r="J30" s="83"/>
    </row>
    <row r="31">
      <c r="J31" s="83"/>
    </row>
    <row r="32">
      <c r="J32" s="83"/>
    </row>
    <row r="33">
      <c r="J33" s="83"/>
    </row>
    <row r="34">
      <c r="J34" s="83"/>
    </row>
    <row r="35">
      <c r="J35" s="83"/>
    </row>
    <row r="36">
      <c r="J36" s="83"/>
    </row>
    <row r="37">
      <c r="J37" s="83"/>
    </row>
    <row r="38">
      <c r="J38" s="83"/>
    </row>
    <row r="39">
      <c r="J39" s="83"/>
    </row>
    <row r="40">
      <c r="J40" s="83"/>
    </row>
    <row r="41">
      <c r="J41" s="83"/>
    </row>
    <row r="42">
      <c r="J42" s="83"/>
    </row>
    <row r="43">
      <c r="J43" s="83"/>
    </row>
    <row r="44">
      <c r="J44" s="83"/>
    </row>
    <row r="45">
      <c r="J45" s="83"/>
    </row>
    <row r="46">
      <c r="J46" s="83"/>
    </row>
    <row r="47">
      <c r="J47" s="83"/>
    </row>
    <row r="48">
      <c r="J48" s="83"/>
    </row>
    <row r="49">
      <c r="J49" s="83"/>
    </row>
    <row r="50">
      <c r="J50" s="83"/>
    </row>
    <row r="51">
      <c r="J51" s="83"/>
    </row>
    <row r="52">
      <c r="J52" s="83"/>
    </row>
    <row r="53">
      <c r="J53" s="83"/>
    </row>
    <row r="54">
      <c r="J54" s="83"/>
    </row>
    <row r="55">
      <c r="J55" s="83"/>
    </row>
    <row r="56">
      <c r="J56" s="83"/>
    </row>
    <row r="57">
      <c r="J57" s="83"/>
    </row>
    <row r="58">
      <c r="J58" s="83"/>
    </row>
    <row r="59">
      <c r="J59" s="83"/>
    </row>
    <row r="60">
      <c r="J60" s="83"/>
    </row>
    <row r="61">
      <c r="J61" s="83"/>
    </row>
    <row r="62">
      <c r="J62" s="83"/>
    </row>
    <row r="63">
      <c r="J63" s="83"/>
    </row>
    <row r="64">
      <c r="J64" s="83"/>
    </row>
    <row r="65">
      <c r="J65" s="83"/>
    </row>
    <row r="66">
      <c r="J66" s="83"/>
    </row>
    <row r="67">
      <c r="J67" s="83"/>
    </row>
    <row r="68">
      <c r="J68" s="83"/>
    </row>
    <row r="69">
      <c r="J69" s="83"/>
    </row>
    <row r="70">
      <c r="J70" s="83"/>
    </row>
    <row r="71">
      <c r="J71" s="83"/>
    </row>
    <row r="72">
      <c r="J72" s="83"/>
    </row>
    <row r="73">
      <c r="J73" s="83"/>
    </row>
    <row r="74">
      <c r="J74" s="83"/>
    </row>
    <row r="75">
      <c r="J75" s="83"/>
    </row>
    <row r="76">
      <c r="J76" s="83"/>
    </row>
    <row r="77">
      <c r="J77" s="83"/>
    </row>
    <row r="78">
      <c r="J78" s="83"/>
    </row>
    <row r="79">
      <c r="J79" s="83"/>
    </row>
    <row r="80">
      <c r="J80" s="83"/>
    </row>
    <row r="81">
      <c r="J81" s="83"/>
    </row>
    <row r="82">
      <c r="J82" s="83"/>
    </row>
    <row r="83">
      <c r="J83" s="83"/>
    </row>
    <row r="84">
      <c r="J84" s="83"/>
    </row>
    <row r="85">
      <c r="J85" s="83"/>
    </row>
    <row r="86">
      <c r="J86" s="83"/>
    </row>
    <row r="87">
      <c r="J87" s="83"/>
    </row>
    <row r="88">
      <c r="J88" s="83"/>
    </row>
    <row r="89">
      <c r="J89" s="83"/>
    </row>
    <row r="90">
      <c r="J90" s="83"/>
    </row>
    <row r="91">
      <c r="J91" s="83"/>
    </row>
    <row r="92">
      <c r="J92" s="83"/>
    </row>
    <row r="93">
      <c r="J93" s="83"/>
    </row>
    <row r="94">
      <c r="J94" s="83"/>
    </row>
    <row r="95">
      <c r="J95" s="83"/>
    </row>
    <row r="96">
      <c r="J96" s="83"/>
    </row>
    <row r="97">
      <c r="J97" s="83"/>
    </row>
    <row r="98">
      <c r="J98" s="83"/>
    </row>
    <row r="99">
      <c r="J99" s="83"/>
    </row>
    <row r="100">
      <c r="J100" s="83"/>
    </row>
    <row r="101">
      <c r="J101" s="83"/>
    </row>
    <row r="102">
      <c r="J102" s="83"/>
    </row>
    <row r="103">
      <c r="J103" s="83"/>
    </row>
    <row r="104">
      <c r="J104" s="83"/>
    </row>
    <row r="105">
      <c r="J105" s="83"/>
    </row>
    <row r="106">
      <c r="J106" s="83"/>
    </row>
    <row r="107">
      <c r="J107" s="83"/>
    </row>
    <row r="108">
      <c r="J108" s="83"/>
    </row>
    <row r="109">
      <c r="J109" s="83"/>
    </row>
    <row r="110">
      <c r="J110" s="83"/>
    </row>
    <row r="111">
      <c r="J111" s="83"/>
    </row>
    <row r="112">
      <c r="J112" s="83"/>
    </row>
    <row r="113">
      <c r="J113" s="83"/>
    </row>
    <row r="114">
      <c r="J114" s="83"/>
    </row>
    <row r="115">
      <c r="J115" s="83"/>
    </row>
    <row r="116">
      <c r="J116" s="83"/>
    </row>
    <row r="117">
      <c r="J117" s="83"/>
    </row>
    <row r="118">
      <c r="J118" s="83"/>
    </row>
    <row r="119">
      <c r="J119" s="83"/>
    </row>
    <row r="120">
      <c r="J120" s="83"/>
    </row>
    <row r="121">
      <c r="J121" s="83"/>
    </row>
    <row r="122">
      <c r="J122" s="83"/>
    </row>
    <row r="123">
      <c r="J123" s="83"/>
    </row>
    <row r="124">
      <c r="J124" s="83"/>
    </row>
    <row r="125">
      <c r="J125" s="83"/>
    </row>
    <row r="126">
      <c r="J126" s="83"/>
    </row>
    <row r="127">
      <c r="J127" s="83"/>
    </row>
    <row r="128">
      <c r="J128" s="83"/>
    </row>
    <row r="129">
      <c r="J129" s="83"/>
    </row>
    <row r="130">
      <c r="J130" s="83"/>
    </row>
    <row r="131">
      <c r="J131" s="83"/>
    </row>
    <row r="132">
      <c r="J132" s="83"/>
    </row>
    <row r="133">
      <c r="J133" s="83"/>
    </row>
    <row r="134">
      <c r="J134" s="83"/>
    </row>
    <row r="135">
      <c r="J135" s="83"/>
    </row>
    <row r="136">
      <c r="J136" s="83"/>
    </row>
    <row r="137">
      <c r="J137" s="83"/>
    </row>
    <row r="138">
      <c r="J138" s="83"/>
    </row>
    <row r="139">
      <c r="J139" s="83"/>
    </row>
    <row r="140">
      <c r="J140" s="83"/>
    </row>
    <row r="141">
      <c r="J141" s="83"/>
    </row>
    <row r="142">
      <c r="J142" s="83"/>
    </row>
    <row r="143">
      <c r="J143" s="83"/>
    </row>
    <row r="144">
      <c r="J144" s="83"/>
    </row>
    <row r="145">
      <c r="J145" s="83"/>
    </row>
    <row r="146">
      <c r="J146" s="83"/>
    </row>
    <row r="147">
      <c r="J147" s="83"/>
    </row>
    <row r="148">
      <c r="J148" s="83"/>
    </row>
    <row r="149">
      <c r="J149" s="83"/>
    </row>
    <row r="150">
      <c r="J150" s="83"/>
    </row>
    <row r="151">
      <c r="J151" s="83"/>
    </row>
    <row r="152">
      <c r="J152" s="83"/>
    </row>
    <row r="153">
      <c r="J153" s="83"/>
    </row>
    <row r="154">
      <c r="J154" s="83"/>
    </row>
    <row r="155">
      <c r="J155" s="83"/>
    </row>
    <row r="156">
      <c r="J156" s="83"/>
    </row>
    <row r="157">
      <c r="J157" s="83"/>
    </row>
    <row r="158">
      <c r="J158" s="83"/>
    </row>
    <row r="159">
      <c r="J159" s="83"/>
    </row>
    <row r="160">
      <c r="J160" s="83"/>
    </row>
    <row r="161">
      <c r="J161" s="83"/>
    </row>
    <row r="162">
      <c r="J162" s="83"/>
    </row>
    <row r="163">
      <c r="J163" s="83"/>
    </row>
    <row r="164">
      <c r="J164" s="83"/>
    </row>
    <row r="165">
      <c r="J165" s="83"/>
    </row>
    <row r="166">
      <c r="J166" s="83"/>
    </row>
    <row r="167">
      <c r="J167" s="83"/>
    </row>
    <row r="168">
      <c r="J168" s="83"/>
    </row>
    <row r="169">
      <c r="J169" s="83"/>
    </row>
    <row r="170">
      <c r="J170" s="83"/>
    </row>
    <row r="171">
      <c r="J171" s="83"/>
    </row>
    <row r="172">
      <c r="J172" s="83"/>
    </row>
    <row r="173">
      <c r="J173" s="83"/>
    </row>
    <row r="174">
      <c r="J174" s="83"/>
    </row>
    <row r="175">
      <c r="J175" s="83"/>
    </row>
    <row r="176">
      <c r="J176" s="83"/>
    </row>
    <row r="177">
      <c r="J177" s="83"/>
    </row>
    <row r="178">
      <c r="J178" s="83"/>
    </row>
    <row r="179">
      <c r="J179" s="83"/>
    </row>
    <row r="180">
      <c r="J180" s="83"/>
    </row>
    <row r="181">
      <c r="J181" s="83"/>
    </row>
    <row r="182">
      <c r="J182" s="83"/>
    </row>
    <row r="183">
      <c r="J183" s="83"/>
    </row>
    <row r="184">
      <c r="J184" s="83"/>
    </row>
    <row r="185">
      <c r="J185" s="83"/>
    </row>
    <row r="186">
      <c r="J186" s="83"/>
    </row>
    <row r="187">
      <c r="J187" s="83"/>
    </row>
    <row r="188">
      <c r="J188" s="83"/>
    </row>
    <row r="189">
      <c r="J189" s="83"/>
    </row>
    <row r="190">
      <c r="J190" s="83"/>
    </row>
    <row r="191">
      <c r="J191" s="83"/>
    </row>
    <row r="192">
      <c r="J192" s="83"/>
    </row>
    <row r="193">
      <c r="J193" s="83"/>
    </row>
    <row r="194">
      <c r="J194" s="83"/>
    </row>
    <row r="195">
      <c r="J195" s="83"/>
    </row>
    <row r="196">
      <c r="J196" s="83"/>
    </row>
    <row r="197">
      <c r="J197" s="83"/>
    </row>
    <row r="198">
      <c r="J198" s="83"/>
    </row>
    <row r="199">
      <c r="J199" s="83"/>
    </row>
    <row r="200">
      <c r="J200" s="83"/>
    </row>
    <row r="201">
      <c r="J201" s="83"/>
    </row>
    <row r="202">
      <c r="J202" s="83"/>
    </row>
    <row r="203">
      <c r="J203" s="83"/>
    </row>
    <row r="204">
      <c r="J204" s="83"/>
    </row>
    <row r="205">
      <c r="J205" s="83"/>
    </row>
    <row r="206">
      <c r="J206" s="83"/>
    </row>
    <row r="207">
      <c r="J207" s="83"/>
    </row>
    <row r="208">
      <c r="J208" s="83"/>
    </row>
    <row r="209">
      <c r="J209" s="83"/>
    </row>
    <row r="210">
      <c r="J210" s="83"/>
    </row>
    <row r="211">
      <c r="J211" s="83"/>
    </row>
    <row r="212">
      <c r="J212" s="83"/>
    </row>
    <row r="213">
      <c r="J213" s="83"/>
    </row>
    <row r="214">
      <c r="J214" s="83"/>
    </row>
    <row r="215">
      <c r="J215" s="83"/>
    </row>
    <row r="216">
      <c r="J216" s="83"/>
    </row>
    <row r="217">
      <c r="J217" s="83"/>
    </row>
    <row r="218">
      <c r="J218" s="83"/>
    </row>
    <row r="219">
      <c r="J219" s="83"/>
    </row>
    <row r="220">
      <c r="J220" s="83"/>
    </row>
    <row r="221">
      <c r="J221" s="83"/>
    </row>
    <row r="222">
      <c r="J222" s="83"/>
    </row>
    <row r="223">
      <c r="J223" s="83"/>
    </row>
    <row r="224">
      <c r="J224" s="83"/>
    </row>
    <row r="225">
      <c r="J225" s="83"/>
    </row>
    <row r="226">
      <c r="J226" s="83"/>
    </row>
    <row r="227">
      <c r="J227" s="83"/>
    </row>
    <row r="228">
      <c r="J228" s="83"/>
    </row>
    <row r="229">
      <c r="J229" s="83"/>
    </row>
    <row r="230">
      <c r="J230" s="83"/>
    </row>
    <row r="231">
      <c r="J231" s="83"/>
    </row>
    <row r="232">
      <c r="J232" s="83"/>
    </row>
    <row r="233">
      <c r="J233" s="83"/>
    </row>
    <row r="234">
      <c r="J234" s="83"/>
    </row>
    <row r="235">
      <c r="J235" s="83"/>
    </row>
    <row r="236">
      <c r="J236" s="83"/>
    </row>
    <row r="237">
      <c r="J237" s="83"/>
    </row>
    <row r="238">
      <c r="J238" s="83"/>
    </row>
    <row r="239">
      <c r="J239" s="83"/>
    </row>
    <row r="240">
      <c r="J240" s="83"/>
    </row>
    <row r="241">
      <c r="J241" s="83"/>
    </row>
    <row r="242">
      <c r="J242" s="83"/>
    </row>
    <row r="243">
      <c r="J243" s="83"/>
    </row>
    <row r="244">
      <c r="J244" s="83"/>
    </row>
    <row r="245">
      <c r="J245" s="83"/>
    </row>
    <row r="246">
      <c r="J246" s="83"/>
    </row>
    <row r="247">
      <c r="J247" s="83"/>
    </row>
    <row r="248">
      <c r="J248" s="83"/>
    </row>
    <row r="249">
      <c r="J249" s="83"/>
    </row>
    <row r="250">
      <c r="J250" s="83"/>
    </row>
    <row r="251">
      <c r="J251" s="83"/>
    </row>
    <row r="252">
      <c r="J252" s="83"/>
    </row>
    <row r="253">
      <c r="J253" s="83"/>
    </row>
    <row r="254">
      <c r="J254" s="83"/>
    </row>
    <row r="255">
      <c r="J255" s="83"/>
    </row>
    <row r="256">
      <c r="J256" s="83"/>
    </row>
    <row r="257">
      <c r="J257" s="83"/>
    </row>
    <row r="258">
      <c r="J258" s="83"/>
    </row>
    <row r="259">
      <c r="J259" s="83"/>
    </row>
    <row r="260">
      <c r="J260" s="83"/>
    </row>
    <row r="261">
      <c r="J261" s="83"/>
    </row>
    <row r="262">
      <c r="J262" s="83"/>
    </row>
    <row r="263">
      <c r="J263" s="83"/>
    </row>
    <row r="264">
      <c r="J264" s="83"/>
    </row>
    <row r="265">
      <c r="J265" s="83"/>
    </row>
    <row r="266">
      <c r="J266" s="83"/>
    </row>
    <row r="267">
      <c r="J267" s="83"/>
    </row>
    <row r="268">
      <c r="J268" s="83"/>
    </row>
    <row r="269">
      <c r="J269" s="83"/>
    </row>
    <row r="270">
      <c r="J270" s="83"/>
    </row>
    <row r="271">
      <c r="J271" s="83"/>
    </row>
    <row r="272">
      <c r="J272" s="83"/>
    </row>
    <row r="273">
      <c r="J273" s="83"/>
    </row>
    <row r="274">
      <c r="J274" s="83"/>
    </row>
    <row r="275">
      <c r="J275" s="83"/>
    </row>
    <row r="276">
      <c r="J276" s="83"/>
    </row>
    <row r="277">
      <c r="J277" s="83"/>
    </row>
    <row r="278">
      <c r="J278" s="83"/>
    </row>
    <row r="279">
      <c r="J279" s="83"/>
    </row>
    <row r="280">
      <c r="J280" s="83"/>
    </row>
    <row r="281">
      <c r="J281" s="83"/>
    </row>
    <row r="282">
      <c r="J282" s="83"/>
    </row>
    <row r="283">
      <c r="J283" s="83"/>
    </row>
    <row r="284">
      <c r="J284" s="83"/>
    </row>
    <row r="285">
      <c r="J285" s="83"/>
    </row>
    <row r="286">
      <c r="J286" s="83"/>
    </row>
    <row r="287">
      <c r="J287" s="83"/>
    </row>
    <row r="288">
      <c r="J288" s="83"/>
    </row>
    <row r="289">
      <c r="J289" s="83"/>
    </row>
    <row r="290">
      <c r="J290" s="83"/>
    </row>
    <row r="291">
      <c r="J291" s="83"/>
    </row>
    <row r="292">
      <c r="J292" s="83"/>
    </row>
    <row r="293">
      <c r="J293" s="83"/>
    </row>
    <row r="294">
      <c r="J294" s="83"/>
    </row>
    <row r="295">
      <c r="J295" s="83"/>
    </row>
    <row r="296">
      <c r="J296" s="83"/>
    </row>
    <row r="297">
      <c r="J297" s="83"/>
    </row>
    <row r="298">
      <c r="J298" s="83"/>
    </row>
    <row r="299">
      <c r="J299" s="83"/>
    </row>
    <row r="300">
      <c r="J300" s="83"/>
    </row>
    <row r="301">
      <c r="J301" s="83"/>
    </row>
    <row r="302">
      <c r="J302" s="83"/>
    </row>
    <row r="303">
      <c r="J303" s="83"/>
    </row>
    <row r="304">
      <c r="J304" s="83"/>
    </row>
    <row r="305">
      <c r="J305" s="83"/>
    </row>
    <row r="306">
      <c r="J306" s="83"/>
    </row>
    <row r="307">
      <c r="J307" s="83"/>
    </row>
    <row r="308">
      <c r="J308" s="83"/>
    </row>
    <row r="309">
      <c r="J309" s="83"/>
    </row>
    <row r="310">
      <c r="J310" s="83"/>
    </row>
    <row r="311">
      <c r="J311" s="83"/>
    </row>
    <row r="312">
      <c r="J312" s="83"/>
    </row>
    <row r="313">
      <c r="J313" s="83"/>
    </row>
    <row r="314">
      <c r="J314" s="83"/>
    </row>
    <row r="315">
      <c r="J315" s="83"/>
    </row>
    <row r="316">
      <c r="J316" s="83"/>
    </row>
    <row r="317">
      <c r="J317" s="83"/>
    </row>
    <row r="318">
      <c r="J318" s="83"/>
    </row>
    <row r="319">
      <c r="J319" s="83"/>
    </row>
    <row r="320">
      <c r="J320" s="83"/>
    </row>
    <row r="321">
      <c r="J321" s="83"/>
    </row>
    <row r="322">
      <c r="J322" s="83"/>
    </row>
    <row r="323">
      <c r="J323" s="83"/>
    </row>
    <row r="324">
      <c r="J324" s="83"/>
    </row>
    <row r="325">
      <c r="J325" s="83"/>
    </row>
    <row r="326">
      <c r="J326" s="83"/>
    </row>
    <row r="327">
      <c r="J327" s="83"/>
    </row>
    <row r="328">
      <c r="J328" s="83"/>
    </row>
    <row r="329">
      <c r="J329" s="83"/>
    </row>
    <row r="330">
      <c r="J330" s="83"/>
    </row>
    <row r="331">
      <c r="J331" s="83"/>
    </row>
    <row r="332">
      <c r="J332" s="83"/>
    </row>
    <row r="333">
      <c r="J333" s="83"/>
    </row>
    <row r="334">
      <c r="J334" s="83"/>
    </row>
    <row r="335">
      <c r="J335" s="83"/>
    </row>
    <row r="336">
      <c r="J336" s="83"/>
    </row>
    <row r="337">
      <c r="J337" s="83"/>
    </row>
    <row r="338">
      <c r="J338" s="83"/>
    </row>
    <row r="339">
      <c r="J339" s="83"/>
    </row>
    <row r="340">
      <c r="J340" s="83"/>
    </row>
    <row r="341">
      <c r="J341" s="83"/>
    </row>
    <row r="342">
      <c r="J342" s="83"/>
    </row>
    <row r="343">
      <c r="J343" s="83"/>
    </row>
    <row r="344">
      <c r="J344" s="83"/>
    </row>
    <row r="345">
      <c r="J345" s="83"/>
    </row>
    <row r="346">
      <c r="J346" s="83"/>
    </row>
    <row r="347">
      <c r="J347" s="83"/>
    </row>
    <row r="348">
      <c r="J348" s="83"/>
    </row>
    <row r="349">
      <c r="J349" s="83"/>
    </row>
    <row r="350">
      <c r="J350" s="83"/>
    </row>
    <row r="351">
      <c r="J351" s="83"/>
    </row>
    <row r="352">
      <c r="J352" s="83"/>
    </row>
    <row r="353">
      <c r="J353" s="83"/>
    </row>
    <row r="354">
      <c r="J354" s="83"/>
    </row>
    <row r="355">
      <c r="J355" s="83"/>
    </row>
    <row r="356">
      <c r="J356" s="83"/>
    </row>
    <row r="357">
      <c r="J357" s="83"/>
    </row>
    <row r="358">
      <c r="J358" s="83"/>
    </row>
    <row r="359">
      <c r="J359" s="83"/>
    </row>
    <row r="360">
      <c r="J360" s="83"/>
    </row>
    <row r="361">
      <c r="J361" s="83"/>
    </row>
    <row r="362">
      <c r="J362" s="83"/>
    </row>
    <row r="363">
      <c r="J363" s="83"/>
    </row>
    <row r="364">
      <c r="J364" s="83"/>
    </row>
    <row r="365">
      <c r="J365" s="83"/>
    </row>
    <row r="366">
      <c r="J366" s="83"/>
    </row>
    <row r="367">
      <c r="J367" s="83"/>
    </row>
    <row r="368">
      <c r="J368" s="83"/>
    </row>
    <row r="369">
      <c r="J369" s="83"/>
    </row>
    <row r="370">
      <c r="J370" s="83"/>
    </row>
    <row r="371">
      <c r="J371" s="83"/>
    </row>
    <row r="372">
      <c r="J372" s="83"/>
    </row>
    <row r="373">
      <c r="J373" s="83"/>
    </row>
    <row r="374">
      <c r="J374" s="83"/>
    </row>
    <row r="375">
      <c r="J375" s="83"/>
    </row>
    <row r="376">
      <c r="J376" s="83"/>
    </row>
    <row r="377">
      <c r="J377" s="83"/>
    </row>
    <row r="378">
      <c r="J378" s="83"/>
    </row>
    <row r="379">
      <c r="J379" s="83"/>
    </row>
    <row r="380">
      <c r="J380" s="83"/>
    </row>
    <row r="381">
      <c r="J381" s="83"/>
    </row>
    <row r="382">
      <c r="J382" s="83"/>
    </row>
    <row r="383">
      <c r="J383" s="83"/>
    </row>
    <row r="384">
      <c r="J384" s="83"/>
    </row>
    <row r="385">
      <c r="J385" s="83"/>
    </row>
    <row r="386">
      <c r="J386" s="83"/>
    </row>
    <row r="387">
      <c r="J387" s="83"/>
    </row>
    <row r="388">
      <c r="J388" s="83"/>
    </row>
    <row r="389">
      <c r="J389" s="83"/>
    </row>
    <row r="390">
      <c r="J390" s="83"/>
    </row>
    <row r="391">
      <c r="J391" s="83"/>
    </row>
    <row r="392">
      <c r="J392" s="83"/>
    </row>
    <row r="393">
      <c r="J393" s="83"/>
    </row>
    <row r="394">
      <c r="J394" s="83"/>
    </row>
    <row r="395">
      <c r="J395" s="83"/>
    </row>
    <row r="396">
      <c r="J396" s="83"/>
    </row>
    <row r="397">
      <c r="J397" s="83"/>
    </row>
    <row r="398">
      <c r="J398" s="83"/>
    </row>
    <row r="399">
      <c r="J399" s="83"/>
    </row>
    <row r="400">
      <c r="J400" s="83"/>
    </row>
    <row r="401">
      <c r="J401" s="83"/>
    </row>
    <row r="402">
      <c r="J402" s="83"/>
    </row>
    <row r="403">
      <c r="J403" s="83"/>
    </row>
    <row r="404">
      <c r="J404" s="83"/>
    </row>
    <row r="405">
      <c r="J405" s="83"/>
    </row>
    <row r="406">
      <c r="J406" s="83"/>
    </row>
    <row r="407">
      <c r="J407" s="83"/>
    </row>
    <row r="408">
      <c r="J408" s="83"/>
    </row>
    <row r="409">
      <c r="J409" s="83"/>
    </row>
    <row r="410">
      <c r="J410" s="83"/>
    </row>
    <row r="411">
      <c r="J411" s="83"/>
    </row>
    <row r="412">
      <c r="J412" s="83"/>
    </row>
    <row r="413">
      <c r="J413" s="83"/>
    </row>
    <row r="414">
      <c r="J414" s="83"/>
    </row>
    <row r="415">
      <c r="J415" s="83"/>
    </row>
    <row r="416">
      <c r="J416" s="83"/>
    </row>
    <row r="417">
      <c r="J417" s="83"/>
    </row>
    <row r="418">
      <c r="J418" s="83"/>
    </row>
    <row r="419">
      <c r="J419" s="83"/>
    </row>
    <row r="420">
      <c r="J420" s="83"/>
    </row>
    <row r="421">
      <c r="J421" s="83"/>
    </row>
    <row r="422">
      <c r="J422" s="83"/>
    </row>
    <row r="423">
      <c r="J423" s="83"/>
    </row>
    <row r="424">
      <c r="J424" s="83"/>
    </row>
    <row r="425">
      <c r="J425" s="83"/>
    </row>
    <row r="426">
      <c r="J426" s="83"/>
    </row>
    <row r="427">
      <c r="J427" s="83"/>
    </row>
    <row r="428">
      <c r="J428" s="83"/>
    </row>
    <row r="429">
      <c r="J429" s="83"/>
    </row>
    <row r="430">
      <c r="J430" s="83"/>
    </row>
    <row r="431">
      <c r="J431" s="83"/>
    </row>
    <row r="432">
      <c r="J432" s="83"/>
    </row>
    <row r="433">
      <c r="J433" s="83"/>
    </row>
    <row r="434">
      <c r="J434" s="83"/>
    </row>
    <row r="435">
      <c r="J435" s="83"/>
    </row>
    <row r="436">
      <c r="J436" s="83"/>
    </row>
    <row r="437">
      <c r="J437" s="83"/>
    </row>
    <row r="438">
      <c r="J438" s="83"/>
    </row>
    <row r="439">
      <c r="J439" s="83"/>
    </row>
    <row r="440">
      <c r="J440" s="83"/>
    </row>
    <row r="441">
      <c r="J441" s="83"/>
    </row>
    <row r="442">
      <c r="J442" s="83"/>
    </row>
    <row r="443">
      <c r="J443" s="83"/>
    </row>
    <row r="444">
      <c r="J444" s="83"/>
    </row>
    <row r="445">
      <c r="J445" s="83"/>
    </row>
    <row r="446">
      <c r="J446" s="83"/>
    </row>
    <row r="447">
      <c r="J447" s="83"/>
    </row>
    <row r="448">
      <c r="J448" s="83"/>
    </row>
    <row r="449">
      <c r="J449" s="83"/>
    </row>
    <row r="450">
      <c r="J450" s="83"/>
    </row>
    <row r="451">
      <c r="J451" s="83"/>
    </row>
    <row r="452">
      <c r="J452" s="83"/>
    </row>
    <row r="453">
      <c r="J453" s="83"/>
    </row>
    <row r="454">
      <c r="J454" s="83"/>
    </row>
    <row r="455">
      <c r="J455" s="83"/>
    </row>
    <row r="456">
      <c r="J456" s="83"/>
    </row>
    <row r="457">
      <c r="J457" s="83"/>
    </row>
    <row r="458">
      <c r="J458" s="83"/>
    </row>
    <row r="459">
      <c r="J459" s="83"/>
    </row>
    <row r="460">
      <c r="J460" s="83"/>
    </row>
    <row r="461">
      <c r="J461" s="83"/>
    </row>
    <row r="462">
      <c r="J462" s="83"/>
    </row>
    <row r="463">
      <c r="J463" s="83"/>
    </row>
    <row r="464">
      <c r="J464" s="83"/>
    </row>
    <row r="465">
      <c r="J465" s="83"/>
    </row>
    <row r="466">
      <c r="J466" s="83"/>
    </row>
    <row r="467">
      <c r="J467" s="83"/>
    </row>
    <row r="468">
      <c r="J468" s="83"/>
    </row>
    <row r="469">
      <c r="J469" s="83"/>
    </row>
    <row r="470">
      <c r="J470" s="83"/>
    </row>
    <row r="471">
      <c r="J471" s="83"/>
    </row>
    <row r="472">
      <c r="J472" s="83"/>
    </row>
    <row r="473">
      <c r="J473" s="83"/>
    </row>
    <row r="474">
      <c r="J474" s="83"/>
    </row>
    <row r="475">
      <c r="J475" s="83"/>
    </row>
    <row r="476">
      <c r="J476" s="83"/>
    </row>
    <row r="477">
      <c r="J477" s="83"/>
    </row>
    <row r="478">
      <c r="J478" s="83"/>
    </row>
    <row r="479">
      <c r="J479" s="83"/>
    </row>
    <row r="480">
      <c r="J480" s="83"/>
    </row>
    <row r="481">
      <c r="J481" s="83"/>
    </row>
    <row r="482">
      <c r="J482" s="83"/>
    </row>
    <row r="483">
      <c r="J483" s="83"/>
    </row>
    <row r="484">
      <c r="J484" s="83"/>
    </row>
    <row r="485">
      <c r="J485" s="83"/>
    </row>
    <row r="486">
      <c r="J486" s="83"/>
    </row>
    <row r="487">
      <c r="J487" s="83"/>
    </row>
    <row r="488">
      <c r="J488" s="83"/>
    </row>
    <row r="489">
      <c r="J489" s="83"/>
    </row>
    <row r="490">
      <c r="J490" s="83"/>
    </row>
    <row r="491">
      <c r="J491" s="83"/>
    </row>
    <row r="492">
      <c r="J492" s="83"/>
    </row>
    <row r="493">
      <c r="J493" s="83"/>
    </row>
    <row r="494">
      <c r="J494" s="83"/>
    </row>
    <row r="495">
      <c r="J495" s="83"/>
    </row>
    <row r="496">
      <c r="J496" s="83"/>
    </row>
    <row r="497">
      <c r="J497" s="83"/>
    </row>
    <row r="498">
      <c r="J498" s="83"/>
    </row>
    <row r="499">
      <c r="J499" s="83"/>
    </row>
    <row r="500">
      <c r="J500" s="83"/>
    </row>
    <row r="501">
      <c r="J501" s="83"/>
    </row>
    <row r="502">
      <c r="J502" s="83"/>
    </row>
    <row r="503">
      <c r="J503" s="83"/>
    </row>
    <row r="504">
      <c r="J504" s="83"/>
    </row>
    <row r="505">
      <c r="J505" s="83"/>
    </row>
    <row r="506">
      <c r="J506" s="83"/>
    </row>
    <row r="507">
      <c r="J507" s="83"/>
    </row>
    <row r="508">
      <c r="J508" s="83"/>
    </row>
    <row r="509">
      <c r="J509" s="83"/>
    </row>
    <row r="510">
      <c r="J510" s="83"/>
    </row>
    <row r="511">
      <c r="J511" s="83"/>
    </row>
    <row r="512">
      <c r="J512" s="83"/>
    </row>
    <row r="513">
      <c r="J513" s="83"/>
    </row>
    <row r="514">
      <c r="J514" s="83"/>
    </row>
    <row r="515">
      <c r="J515" s="83"/>
    </row>
    <row r="516">
      <c r="J516" s="83"/>
    </row>
    <row r="517">
      <c r="J517" s="83"/>
    </row>
    <row r="518">
      <c r="J518" s="83"/>
    </row>
    <row r="519">
      <c r="J519" s="83"/>
    </row>
    <row r="520">
      <c r="J520" s="83"/>
    </row>
    <row r="521">
      <c r="J521" s="83"/>
    </row>
    <row r="522">
      <c r="J522" s="83"/>
    </row>
    <row r="523">
      <c r="J523" s="83"/>
    </row>
    <row r="524">
      <c r="J524" s="83"/>
    </row>
    <row r="525">
      <c r="J525" s="83"/>
    </row>
    <row r="526">
      <c r="J526" s="83"/>
    </row>
    <row r="527">
      <c r="J527" s="83"/>
    </row>
    <row r="528">
      <c r="J528" s="83"/>
    </row>
    <row r="529">
      <c r="J529" s="83"/>
    </row>
    <row r="530">
      <c r="J530" s="83"/>
    </row>
    <row r="531">
      <c r="J531" s="83"/>
    </row>
    <row r="532">
      <c r="J532" s="83"/>
    </row>
    <row r="533">
      <c r="J533" s="83"/>
    </row>
    <row r="534">
      <c r="J534" s="83"/>
    </row>
    <row r="535">
      <c r="J535" s="83"/>
    </row>
    <row r="536">
      <c r="J536" s="83"/>
    </row>
    <row r="537">
      <c r="J537" s="83"/>
    </row>
    <row r="538">
      <c r="J538" s="83"/>
    </row>
    <row r="539">
      <c r="J539" s="83"/>
    </row>
    <row r="540">
      <c r="J540" s="83"/>
    </row>
    <row r="541">
      <c r="J541" s="83"/>
    </row>
    <row r="542">
      <c r="J542" s="83"/>
    </row>
    <row r="543">
      <c r="J543" s="83"/>
    </row>
    <row r="544">
      <c r="J544" s="83"/>
    </row>
    <row r="545">
      <c r="J545" s="83"/>
    </row>
    <row r="546">
      <c r="J546" s="83"/>
    </row>
    <row r="547">
      <c r="J547" s="83"/>
    </row>
    <row r="548">
      <c r="J548" s="83"/>
    </row>
    <row r="549">
      <c r="J549" s="83"/>
    </row>
    <row r="550">
      <c r="J550" s="83"/>
    </row>
    <row r="551">
      <c r="J551" s="83"/>
    </row>
    <row r="552">
      <c r="J552" s="83"/>
    </row>
    <row r="553">
      <c r="J553" s="83"/>
    </row>
    <row r="554">
      <c r="J554" s="83"/>
    </row>
    <row r="555">
      <c r="J555" s="83"/>
    </row>
    <row r="556">
      <c r="J556" s="83"/>
    </row>
    <row r="557">
      <c r="J557" s="83"/>
    </row>
    <row r="558">
      <c r="J558" s="83"/>
    </row>
    <row r="559">
      <c r="J559" s="83"/>
    </row>
    <row r="560">
      <c r="J560" s="83"/>
    </row>
    <row r="561">
      <c r="J561" s="83"/>
    </row>
    <row r="562">
      <c r="J562" s="83"/>
    </row>
    <row r="563">
      <c r="J563" s="83"/>
    </row>
    <row r="564">
      <c r="J564" s="83"/>
    </row>
    <row r="565">
      <c r="J565" s="83"/>
    </row>
    <row r="566">
      <c r="J566" s="83"/>
    </row>
    <row r="567">
      <c r="J567" s="83"/>
    </row>
    <row r="568">
      <c r="J568" s="83"/>
    </row>
    <row r="569">
      <c r="J569" s="83"/>
    </row>
    <row r="570">
      <c r="J570" s="83"/>
    </row>
    <row r="571">
      <c r="J571" s="83"/>
    </row>
    <row r="572">
      <c r="J572" s="83"/>
    </row>
    <row r="573">
      <c r="J573" s="83"/>
    </row>
    <row r="574">
      <c r="J574" s="83"/>
    </row>
    <row r="575">
      <c r="J575" s="83"/>
    </row>
    <row r="576">
      <c r="J576" s="83"/>
    </row>
    <row r="577">
      <c r="J577" s="83"/>
    </row>
    <row r="578">
      <c r="J578" s="83"/>
    </row>
    <row r="579">
      <c r="J579" s="83"/>
    </row>
    <row r="580">
      <c r="J580" s="83"/>
    </row>
    <row r="581">
      <c r="J581" s="83"/>
    </row>
    <row r="582">
      <c r="J582" s="83"/>
    </row>
    <row r="583">
      <c r="J583" s="83"/>
    </row>
    <row r="584">
      <c r="J584" s="83"/>
    </row>
    <row r="585">
      <c r="J585" s="83"/>
    </row>
    <row r="586">
      <c r="J586" s="83"/>
    </row>
    <row r="587">
      <c r="J587" s="83"/>
    </row>
    <row r="588">
      <c r="J588" s="83"/>
    </row>
    <row r="589">
      <c r="J589" s="83"/>
    </row>
    <row r="590">
      <c r="J590" s="83"/>
    </row>
    <row r="591">
      <c r="J591" s="83"/>
    </row>
    <row r="592">
      <c r="J592" s="83"/>
    </row>
    <row r="593">
      <c r="J593" s="83"/>
    </row>
    <row r="594">
      <c r="J594" s="83"/>
    </row>
    <row r="595">
      <c r="J595" s="83"/>
    </row>
    <row r="596">
      <c r="J596" s="83"/>
    </row>
    <row r="597">
      <c r="J597" s="83"/>
    </row>
    <row r="598">
      <c r="J598" s="83"/>
    </row>
    <row r="599">
      <c r="J599" s="83"/>
    </row>
    <row r="600">
      <c r="J600" s="83"/>
    </row>
    <row r="601">
      <c r="J601" s="83"/>
    </row>
    <row r="602">
      <c r="J602" s="83"/>
    </row>
    <row r="603">
      <c r="J603" s="83"/>
    </row>
    <row r="604">
      <c r="J604" s="83"/>
    </row>
    <row r="605">
      <c r="J605" s="83"/>
    </row>
    <row r="606">
      <c r="J606" s="83"/>
    </row>
    <row r="607">
      <c r="J607" s="83"/>
    </row>
    <row r="608">
      <c r="J608" s="83"/>
    </row>
    <row r="609">
      <c r="J609" s="83"/>
    </row>
    <row r="610">
      <c r="J610" s="83"/>
    </row>
    <row r="611">
      <c r="J611" s="83"/>
    </row>
    <row r="612">
      <c r="J612" s="83"/>
    </row>
    <row r="613">
      <c r="J613" s="83"/>
    </row>
    <row r="614">
      <c r="J614" s="83"/>
    </row>
    <row r="615">
      <c r="J615" s="83"/>
    </row>
    <row r="616">
      <c r="J616" s="83"/>
    </row>
    <row r="617">
      <c r="J617" s="83"/>
    </row>
    <row r="618">
      <c r="J618" s="83"/>
    </row>
    <row r="619">
      <c r="J619" s="83"/>
    </row>
    <row r="620">
      <c r="J620" s="83"/>
    </row>
    <row r="621">
      <c r="J621" s="83"/>
    </row>
    <row r="622">
      <c r="J622" s="83"/>
    </row>
    <row r="623">
      <c r="J623" s="83"/>
    </row>
    <row r="624">
      <c r="J624" s="83"/>
    </row>
    <row r="625">
      <c r="J625" s="83"/>
    </row>
    <row r="626">
      <c r="J626" s="83"/>
    </row>
    <row r="627">
      <c r="J627" s="83"/>
    </row>
    <row r="628">
      <c r="J628" s="83"/>
    </row>
    <row r="629">
      <c r="J629" s="83"/>
    </row>
    <row r="630">
      <c r="J630" s="83"/>
    </row>
    <row r="631">
      <c r="J631" s="83"/>
    </row>
    <row r="632">
      <c r="J632" s="83"/>
    </row>
    <row r="633">
      <c r="J633" s="83"/>
    </row>
    <row r="634">
      <c r="J634" s="83"/>
    </row>
    <row r="635">
      <c r="J635" s="83"/>
    </row>
    <row r="636">
      <c r="J636" s="83"/>
    </row>
    <row r="637">
      <c r="J637" s="83"/>
    </row>
    <row r="638">
      <c r="J638" s="83"/>
    </row>
    <row r="639">
      <c r="J639" s="83"/>
    </row>
    <row r="640">
      <c r="J640" s="83"/>
    </row>
    <row r="641">
      <c r="J641" s="83"/>
    </row>
    <row r="642">
      <c r="J642" s="83"/>
    </row>
    <row r="643">
      <c r="J643" s="83"/>
    </row>
    <row r="644">
      <c r="J644" s="83"/>
    </row>
    <row r="645">
      <c r="J645" s="83"/>
    </row>
    <row r="646">
      <c r="J646" s="83"/>
    </row>
    <row r="647">
      <c r="J647" s="83"/>
    </row>
    <row r="648">
      <c r="J648" s="83"/>
    </row>
    <row r="649">
      <c r="J649" s="83"/>
    </row>
    <row r="650">
      <c r="J650" s="83"/>
    </row>
    <row r="651">
      <c r="J651" s="83"/>
    </row>
    <row r="652">
      <c r="J652" s="83"/>
    </row>
    <row r="653">
      <c r="J653" s="83"/>
    </row>
    <row r="654">
      <c r="J654" s="83"/>
    </row>
    <row r="655">
      <c r="J655" s="83"/>
    </row>
    <row r="656">
      <c r="J656" s="83"/>
    </row>
    <row r="657">
      <c r="J657" s="83"/>
    </row>
    <row r="658">
      <c r="J658" s="83"/>
    </row>
    <row r="659">
      <c r="J659" s="83"/>
    </row>
    <row r="660">
      <c r="J660" s="83"/>
    </row>
    <row r="661">
      <c r="J661" s="83"/>
    </row>
    <row r="662">
      <c r="J662" s="83"/>
    </row>
    <row r="663">
      <c r="J663" s="83"/>
    </row>
    <row r="664">
      <c r="J664" s="83"/>
    </row>
    <row r="665">
      <c r="J665" s="83"/>
    </row>
    <row r="666">
      <c r="J666" s="83"/>
    </row>
    <row r="667">
      <c r="J667" s="83"/>
    </row>
    <row r="668">
      <c r="J668" s="83"/>
    </row>
    <row r="669">
      <c r="J669" s="83"/>
    </row>
    <row r="670">
      <c r="J670" s="83"/>
    </row>
    <row r="671">
      <c r="J671" s="83"/>
    </row>
    <row r="672">
      <c r="J672" s="83"/>
    </row>
    <row r="673">
      <c r="J673" s="83"/>
    </row>
    <row r="674">
      <c r="J674" s="83"/>
    </row>
    <row r="675">
      <c r="J675" s="83"/>
    </row>
    <row r="676">
      <c r="J676" s="83"/>
    </row>
    <row r="677">
      <c r="J677" s="83"/>
    </row>
    <row r="678">
      <c r="J678" s="83"/>
    </row>
    <row r="679">
      <c r="J679" s="83"/>
    </row>
    <row r="680">
      <c r="J680" s="83"/>
    </row>
    <row r="681">
      <c r="J681" s="83"/>
    </row>
    <row r="682">
      <c r="J682" s="83"/>
    </row>
    <row r="683">
      <c r="J683" s="83"/>
    </row>
    <row r="684">
      <c r="J684" s="83"/>
    </row>
    <row r="685">
      <c r="J685" s="83"/>
    </row>
    <row r="686">
      <c r="J686" s="83"/>
    </row>
    <row r="687">
      <c r="J687" s="83"/>
    </row>
    <row r="688">
      <c r="J688" s="83"/>
    </row>
    <row r="689">
      <c r="J689" s="83"/>
    </row>
    <row r="690">
      <c r="J690" s="83"/>
    </row>
    <row r="691">
      <c r="J691" s="83"/>
    </row>
    <row r="692">
      <c r="J692" s="83"/>
    </row>
    <row r="693">
      <c r="J693" s="83"/>
    </row>
    <row r="694">
      <c r="J694" s="83"/>
    </row>
    <row r="695">
      <c r="J695" s="83"/>
    </row>
    <row r="696">
      <c r="J696" s="83"/>
    </row>
    <row r="697">
      <c r="J697" s="83"/>
    </row>
    <row r="698">
      <c r="J698" s="83"/>
    </row>
    <row r="699">
      <c r="J699" s="83"/>
    </row>
    <row r="700">
      <c r="J700" s="83"/>
    </row>
    <row r="701">
      <c r="J701" s="83"/>
    </row>
    <row r="702">
      <c r="J702" s="83"/>
    </row>
    <row r="703">
      <c r="J703" s="83"/>
    </row>
    <row r="704">
      <c r="J704" s="83"/>
    </row>
    <row r="705">
      <c r="J705" s="83"/>
    </row>
    <row r="706">
      <c r="J706" s="83"/>
    </row>
    <row r="707">
      <c r="J707" s="83"/>
    </row>
    <row r="708">
      <c r="J708" s="83"/>
    </row>
    <row r="709">
      <c r="J709" s="83"/>
    </row>
    <row r="710">
      <c r="J710" s="83"/>
    </row>
    <row r="711">
      <c r="J711" s="83"/>
    </row>
    <row r="712">
      <c r="J712" s="83"/>
    </row>
    <row r="713">
      <c r="J713" s="83"/>
    </row>
    <row r="714">
      <c r="J714" s="83"/>
    </row>
    <row r="715">
      <c r="J715" s="83"/>
    </row>
    <row r="716">
      <c r="J716" s="83"/>
    </row>
    <row r="717">
      <c r="J717" s="83"/>
    </row>
    <row r="718">
      <c r="J718" s="83"/>
    </row>
    <row r="719">
      <c r="J719" s="83"/>
    </row>
    <row r="720">
      <c r="J720" s="83"/>
    </row>
    <row r="721">
      <c r="J721" s="83"/>
    </row>
    <row r="722">
      <c r="J722" s="83"/>
    </row>
    <row r="723">
      <c r="J723" s="83"/>
    </row>
    <row r="724">
      <c r="J724" s="83"/>
    </row>
    <row r="725">
      <c r="J725" s="83"/>
    </row>
    <row r="726">
      <c r="J726" s="83"/>
    </row>
    <row r="727">
      <c r="J727" s="83"/>
    </row>
    <row r="728">
      <c r="J728" s="83"/>
    </row>
    <row r="729">
      <c r="J729" s="83"/>
    </row>
    <row r="730">
      <c r="J730" s="83"/>
    </row>
    <row r="731">
      <c r="J731" s="83"/>
    </row>
    <row r="732">
      <c r="J732" s="83"/>
    </row>
    <row r="733">
      <c r="J733" s="83"/>
    </row>
    <row r="734">
      <c r="J734" s="83"/>
    </row>
    <row r="735">
      <c r="J735" s="83"/>
    </row>
    <row r="736">
      <c r="J736" s="83"/>
    </row>
    <row r="737">
      <c r="J737" s="83"/>
    </row>
    <row r="738">
      <c r="J738" s="83"/>
    </row>
    <row r="739">
      <c r="J739" s="83"/>
    </row>
    <row r="740">
      <c r="J740" s="83"/>
    </row>
    <row r="741">
      <c r="J741" s="83"/>
    </row>
    <row r="742">
      <c r="J742" s="83"/>
    </row>
    <row r="743">
      <c r="J743" s="83"/>
    </row>
    <row r="744">
      <c r="J744" s="83"/>
    </row>
    <row r="745">
      <c r="J745" s="83"/>
    </row>
    <row r="746">
      <c r="J746" s="83"/>
    </row>
    <row r="747">
      <c r="J747" s="83"/>
    </row>
    <row r="748">
      <c r="J748" s="83"/>
    </row>
    <row r="749">
      <c r="J749" s="83"/>
    </row>
    <row r="750">
      <c r="J750" s="83"/>
    </row>
    <row r="751">
      <c r="J751" s="83"/>
    </row>
    <row r="752">
      <c r="J752" s="83"/>
    </row>
    <row r="753">
      <c r="J753" s="83"/>
    </row>
    <row r="754">
      <c r="J754" s="83"/>
    </row>
    <row r="755">
      <c r="J755" s="83"/>
    </row>
    <row r="756">
      <c r="J756" s="83"/>
    </row>
    <row r="757">
      <c r="J757" s="83"/>
    </row>
    <row r="758">
      <c r="J758" s="83"/>
    </row>
    <row r="759">
      <c r="J759" s="83"/>
    </row>
    <row r="760">
      <c r="J760" s="83"/>
    </row>
    <row r="761">
      <c r="J761" s="83"/>
    </row>
    <row r="762">
      <c r="J762" s="83"/>
    </row>
    <row r="763">
      <c r="J763" s="83"/>
    </row>
    <row r="764">
      <c r="J764" s="83"/>
    </row>
    <row r="765">
      <c r="J765" s="83"/>
    </row>
    <row r="766">
      <c r="J766" s="83"/>
    </row>
    <row r="767">
      <c r="J767" s="83"/>
    </row>
    <row r="768">
      <c r="J768" s="83"/>
    </row>
    <row r="769">
      <c r="J769" s="83"/>
    </row>
    <row r="770">
      <c r="J770" s="83"/>
    </row>
    <row r="771">
      <c r="J771" s="83"/>
    </row>
    <row r="772">
      <c r="J772" s="83"/>
    </row>
    <row r="773">
      <c r="J773" s="83"/>
    </row>
    <row r="774">
      <c r="J774" s="83"/>
    </row>
    <row r="775">
      <c r="J775" s="83"/>
    </row>
    <row r="776">
      <c r="J776" s="83"/>
    </row>
    <row r="777">
      <c r="J777" s="83"/>
    </row>
    <row r="778">
      <c r="J778" s="83"/>
    </row>
    <row r="779">
      <c r="J779" s="83"/>
    </row>
    <row r="780">
      <c r="J780" s="83"/>
    </row>
    <row r="781">
      <c r="J781" s="83"/>
    </row>
    <row r="782">
      <c r="J782" s="83"/>
    </row>
    <row r="783">
      <c r="J783" s="83"/>
    </row>
    <row r="784">
      <c r="J784" s="83"/>
    </row>
    <row r="785">
      <c r="J785" s="83"/>
    </row>
    <row r="786">
      <c r="J786" s="83"/>
    </row>
    <row r="787">
      <c r="J787" s="83"/>
    </row>
    <row r="788">
      <c r="J788" s="83"/>
    </row>
    <row r="789">
      <c r="J789" s="83"/>
    </row>
    <row r="790">
      <c r="J790" s="83"/>
    </row>
    <row r="791">
      <c r="J791" s="83"/>
    </row>
    <row r="792">
      <c r="J792" s="83"/>
    </row>
    <row r="793">
      <c r="J793" s="83"/>
    </row>
    <row r="794">
      <c r="J794" s="83"/>
    </row>
    <row r="795">
      <c r="J795" s="83"/>
    </row>
    <row r="796">
      <c r="J796" s="83"/>
    </row>
    <row r="797">
      <c r="J797" s="83"/>
    </row>
    <row r="798">
      <c r="J798" s="83"/>
    </row>
    <row r="799">
      <c r="J799" s="83"/>
    </row>
    <row r="800">
      <c r="J800" s="83"/>
    </row>
    <row r="801">
      <c r="J801" s="83"/>
    </row>
    <row r="802">
      <c r="J802" s="83"/>
    </row>
    <row r="803">
      <c r="J803" s="83"/>
    </row>
    <row r="804">
      <c r="J804" s="83"/>
    </row>
    <row r="805">
      <c r="J805" s="83"/>
    </row>
    <row r="806">
      <c r="J806" s="83"/>
    </row>
    <row r="807">
      <c r="J807" s="83"/>
    </row>
    <row r="808">
      <c r="J808" s="83"/>
    </row>
    <row r="809">
      <c r="J809" s="83"/>
    </row>
    <row r="810">
      <c r="J810" s="83"/>
    </row>
    <row r="811">
      <c r="J811" s="83"/>
    </row>
    <row r="812">
      <c r="J812" s="83"/>
    </row>
    <row r="813">
      <c r="J813" s="83"/>
    </row>
    <row r="814">
      <c r="J814" s="83"/>
    </row>
    <row r="815">
      <c r="J815" s="83"/>
    </row>
    <row r="816">
      <c r="J816" s="83"/>
    </row>
    <row r="817">
      <c r="J817" s="83"/>
    </row>
    <row r="818">
      <c r="J818" s="83"/>
    </row>
    <row r="819">
      <c r="J819" s="83"/>
    </row>
    <row r="820">
      <c r="J820" s="83"/>
    </row>
    <row r="821">
      <c r="J821" s="83"/>
    </row>
    <row r="822">
      <c r="J822" s="83"/>
    </row>
    <row r="823">
      <c r="J823" s="83"/>
    </row>
    <row r="824">
      <c r="J824" s="83"/>
    </row>
    <row r="825">
      <c r="J825" s="83"/>
    </row>
    <row r="826">
      <c r="J826" s="83"/>
    </row>
    <row r="827">
      <c r="J827" s="83"/>
    </row>
    <row r="828">
      <c r="J828" s="83"/>
    </row>
    <row r="829">
      <c r="J829" s="83"/>
    </row>
    <row r="830">
      <c r="J830" s="83"/>
    </row>
    <row r="831">
      <c r="J831" s="83"/>
    </row>
    <row r="832">
      <c r="J832" s="83"/>
    </row>
    <row r="833">
      <c r="J833" s="83"/>
    </row>
    <row r="834">
      <c r="J834" s="83"/>
    </row>
    <row r="835">
      <c r="J835" s="83"/>
    </row>
    <row r="836">
      <c r="J836" s="83"/>
    </row>
    <row r="837">
      <c r="J837" s="83"/>
    </row>
    <row r="838">
      <c r="J838" s="83"/>
    </row>
    <row r="839">
      <c r="J839" s="83"/>
    </row>
    <row r="840">
      <c r="J840" s="83"/>
    </row>
    <row r="841">
      <c r="J841" s="83"/>
    </row>
    <row r="842">
      <c r="J842" s="83"/>
    </row>
    <row r="843">
      <c r="J843" s="83"/>
    </row>
    <row r="844">
      <c r="J844" s="83"/>
    </row>
    <row r="845">
      <c r="J845" s="83"/>
    </row>
    <row r="846">
      <c r="J846" s="83"/>
    </row>
    <row r="847">
      <c r="J847" s="83"/>
    </row>
    <row r="848">
      <c r="J848" s="83"/>
    </row>
    <row r="849">
      <c r="J849" s="83"/>
    </row>
    <row r="850">
      <c r="J850" s="83"/>
    </row>
    <row r="851">
      <c r="J851" s="83"/>
    </row>
    <row r="852">
      <c r="J852" s="83"/>
    </row>
    <row r="853">
      <c r="J853" s="83"/>
    </row>
    <row r="854">
      <c r="J854" s="83"/>
    </row>
    <row r="855">
      <c r="J855" s="83"/>
    </row>
    <row r="856">
      <c r="J856" s="83"/>
    </row>
    <row r="857">
      <c r="J857" s="83"/>
    </row>
    <row r="858">
      <c r="J858" s="83"/>
    </row>
    <row r="859">
      <c r="J859" s="83"/>
    </row>
    <row r="860">
      <c r="J860" s="83"/>
    </row>
    <row r="861">
      <c r="J861" s="83"/>
    </row>
    <row r="862">
      <c r="J862" s="83"/>
    </row>
    <row r="863">
      <c r="J863" s="83"/>
    </row>
    <row r="864">
      <c r="J864" s="83"/>
    </row>
    <row r="865">
      <c r="J865" s="83"/>
    </row>
    <row r="866">
      <c r="J866" s="83"/>
    </row>
    <row r="867">
      <c r="J867" s="83"/>
    </row>
    <row r="868">
      <c r="J868" s="83"/>
    </row>
    <row r="869">
      <c r="J869" s="83"/>
    </row>
    <row r="870">
      <c r="J870" s="83"/>
    </row>
    <row r="871">
      <c r="J871" s="83"/>
    </row>
    <row r="872">
      <c r="J872" s="83"/>
    </row>
    <row r="873">
      <c r="J873" s="83"/>
    </row>
    <row r="874">
      <c r="J874" s="83"/>
    </row>
    <row r="875">
      <c r="J875" s="83"/>
    </row>
    <row r="876">
      <c r="J876" s="83"/>
    </row>
    <row r="877">
      <c r="J877" s="83"/>
    </row>
    <row r="878">
      <c r="J878" s="83"/>
    </row>
    <row r="879">
      <c r="J879" s="83"/>
    </row>
    <row r="880">
      <c r="J880" s="83"/>
    </row>
    <row r="881">
      <c r="J881" s="83"/>
    </row>
    <row r="882">
      <c r="J882" s="83"/>
    </row>
    <row r="883">
      <c r="J883" s="83"/>
    </row>
    <row r="884">
      <c r="J884" s="83"/>
    </row>
    <row r="885">
      <c r="J885" s="83"/>
    </row>
    <row r="886">
      <c r="J886" s="83"/>
    </row>
    <row r="887">
      <c r="J887" s="83"/>
    </row>
    <row r="888">
      <c r="J888" s="83"/>
    </row>
    <row r="889">
      <c r="J889" s="83"/>
    </row>
    <row r="890">
      <c r="J890" s="83"/>
    </row>
    <row r="891">
      <c r="J891" s="83"/>
    </row>
    <row r="892">
      <c r="J892" s="83"/>
    </row>
    <row r="893">
      <c r="J893" s="83"/>
    </row>
    <row r="894">
      <c r="J894" s="83"/>
    </row>
    <row r="895">
      <c r="J895" s="83"/>
    </row>
    <row r="896">
      <c r="J896" s="83"/>
    </row>
    <row r="897">
      <c r="J897" s="83"/>
    </row>
    <row r="898">
      <c r="J898" s="83"/>
    </row>
    <row r="899">
      <c r="J899" s="83"/>
    </row>
    <row r="900">
      <c r="J900" s="83"/>
    </row>
    <row r="901">
      <c r="J901" s="83"/>
    </row>
    <row r="902">
      <c r="J902" s="83"/>
    </row>
    <row r="903">
      <c r="J903" s="83"/>
    </row>
    <row r="904">
      <c r="J904" s="83"/>
    </row>
    <row r="905">
      <c r="J905" s="83"/>
    </row>
    <row r="906">
      <c r="J906" s="83"/>
    </row>
    <row r="907">
      <c r="J907" s="83"/>
    </row>
    <row r="908">
      <c r="J908" s="83"/>
    </row>
    <row r="909">
      <c r="J909" s="83"/>
    </row>
    <row r="910">
      <c r="J910" s="83"/>
    </row>
    <row r="911">
      <c r="J911" s="83"/>
    </row>
    <row r="912">
      <c r="J912" s="83"/>
    </row>
    <row r="913">
      <c r="J913" s="83"/>
    </row>
    <row r="914">
      <c r="J914" s="83"/>
    </row>
    <row r="915">
      <c r="J915" s="83"/>
    </row>
    <row r="916">
      <c r="J916" s="83"/>
    </row>
    <row r="917">
      <c r="J917" s="83"/>
    </row>
    <row r="918">
      <c r="J918" s="83"/>
    </row>
    <row r="919">
      <c r="J919" s="83"/>
    </row>
    <row r="920">
      <c r="J920" s="83"/>
    </row>
    <row r="921">
      <c r="J921" s="83"/>
    </row>
    <row r="922">
      <c r="J922" s="83"/>
    </row>
    <row r="923">
      <c r="J923" s="83"/>
    </row>
    <row r="924">
      <c r="J924" s="83"/>
    </row>
    <row r="925">
      <c r="J925" s="83"/>
    </row>
    <row r="926">
      <c r="J926" s="83"/>
    </row>
    <row r="927">
      <c r="J927" s="83"/>
    </row>
    <row r="928">
      <c r="J928" s="83"/>
    </row>
    <row r="929">
      <c r="J929" s="83"/>
    </row>
    <row r="930">
      <c r="J930" s="83"/>
    </row>
    <row r="931">
      <c r="J931" s="83"/>
    </row>
    <row r="932">
      <c r="J932" s="83"/>
    </row>
    <row r="933">
      <c r="J933" s="83"/>
    </row>
    <row r="934">
      <c r="J934" s="83"/>
    </row>
    <row r="935">
      <c r="J935" s="83"/>
    </row>
    <row r="936">
      <c r="J936" s="83"/>
    </row>
    <row r="937">
      <c r="J937" s="83"/>
    </row>
    <row r="938">
      <c r="J938" s="83"/>
    </row>
    <row r="939">
      <c r="J939" s="83"/>
    </row>
    <row r="940">
      <c r="J940" s="83"/>
    </row>
    <row r="941">
      <c r="J941" s="83"/>
    </row>
    <row r="942">
      <c r="J942" s="83"/>
    </row>
    <row r="943">
      <c r="J943" s="83"/>
    </row>
    <row r="944">
      <c r="J944" s="83"/>
    </row>
    <row r="945">
      <c r="J945" s="83"/>
    </row>
    <row r="946">
      <c r="J946" s="83"/>
    </row>
    <row r="947">
      <c r="J947" s="83"/>
    </row>
    <row r="948">
      <c r="J948" s="83"/>
    </row>
    <row r="949">
      <c r="J949" s="83"/>
    </row>
    <row r="950">
      <c r="J950" s="83"/>
    </row>
    <row r="951">
      <c r="J951" s="83"/>
    </row>
    <row r="952">
      <c r="J952" s="83"/>
    </row>
    <row r="953">
      <c r="J953" s="83"/>
    </row>
    <row r="954">
      <c r="J954" s="83"/>
    </row>
    <row r="955">
      <c r="J955" s="83"/>
    </row>
    <row r="956">
      <c r="J956" s="83"/>
    </row>
    <row r="957">
      <c r="J957" s="83"/>
    </row>
    <row r="958">
      <c r="J958" s="83"/>
    </row>
    <row r="959">
      <c r="J959" s="83"/>
    </row>
    <row r="960">
      <c r="J960" s="83"/>
    </row>
    <row r="961">
      <c r="J961" s="83"/>
    </row>
    <row r="962">
      <c r="J962" s="83"/>
    </row>
    <row r="963">
      <c r="J963" s="83"/>
    </row>
    <row r="964">
      <c r="J964" s="83"/>
    </row>
    <row r="965">
      <c r="J965" s="83"/>
    </row>
    <row r="966">
      <c r="J966" s="83"/>
    </row>
    <row r="967">
      <c r="J967" s="83"/>
    </row>
    <row r="968">
      <c r="J968" s="83"/>
    </row>
    <row r="969">
      <c r="J969" s="83"/>
    </row>
    <row r="970">
      <c r="J970" s="83"/>
    </row>
    <row r="971">
      <c r="J971" s="83"/>
    </row>
    <row r="972">
      <c r="J972" s="83"/>
    </row>
    <row r="973">
      <c r="J973" s="83"/>
    </row>
    <row r="974">
      <c r="J974" s="83"/>
    </row>
    <row r="975">
      <c r="J975" s="83"/>
    </row>
    <row r="976">
      <c r="J976" s="83"/>
    </row>
    <row r="977">
      <c r="J977" s="83"/>
    </row>
    <row r="978">
      <c r="J978" s="83"/>
    </row>
    <row r="979">
      <c r="J979" s="83"/>
    </row>
    <row r="980">
      <c r="J980" s="83"/>
    </row>
    <row r="981">
      <c r="J981" s="83"/>
    </row>
    <row r="982">
      <c r="J982" s="83"/>
    </row>
    <row r="983">
      <c r="J983" s="83"/>
    </row>
    <row r="984">
      <c r="J984" s="83"/>
    </row>
    <row r="985">
      <c r="J985" s="83"/>
    </row>
    <row r="986">
      <c r="J986" s="83"/>
    </row>
    <row r="987">
      <c r="J987" s="83"/>
    </row>
    <row r="988">
      <c r="J988" s="83"/>
    </row>
    <row r="989">
      <c r="J989" s="83"/>
    </row>
    <row r="990">
      <c r="J990" s="83"/>
    </row>
    <row r="991">
      <c r="J991" s="83"/>
    </row>
    <row r="992">
      <c r="J992" s="83"/>
    </row>
    <row r="993">
      <c r="J993" s="83"/>
    </row>
    <row r="994">
      <c r="J994" s="83"/>
    </row>
    <row r="995">
      <c r="J995" s="83"/>
    </row>
    <row r="996">
      <c r="J996" s="83"/>
    </row>
    <row r="997">
      <c r="J997" s="83"/>
    </row>
    <row r="998">
      <c r="J998" s="83"/>
    </row>
    <row r="999">
      <c r="J999" s="83"/>
    </row>
    <row r="1000">
      <c r="J1000" s="83"/>
    </row>
  </sheetData>
  <mergeCells count="9">
    <mergeCell ref="C25:E25"/>
    <mergeCell ref="C26:E26"/>
    <mergeCell ref="C18:E18"/>
    <mergeCell ref="C19:E19"/>
    <mergeCell ref="C20:E20"/>
    <mergeCell ref="C21:E21"/>
    <mergeCell ref="C22:E22"/>
    <mergeCell ref="C23:E23"/>
    <mergeCell ref="C24:E24"/>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5F4"/>
    <outlinePr summaryBelow="0" summaryRight="0"/>
  </sheetPr>
  <sheetViews>
    <sheetView showGridLines="0" workbookViewId="0"/>
  </sheetViews>
  <sheetFormatPr customHeight="1" defaultColWidth="12.63" defaultRowHeight="15.75"/>
  <cols>
    <col customWidth="1" min="1" max="2" width="20.88"/>
    <col customWidth="1" min="8" max="8" width="22.63"/>
  </cols>
  <sheetData>
    <row r="1">
      <c r="A1" s="18" t="s">
        <v>212</v>
      </c>
      <c r="B1" s="19"/>
      <c r="C1" s="19"/>
      <c r="D1" s="19"/>
      <c r="E1" s="19"/>
    </row>
    <row r="2">
      <c r="A2" s="20" t="s">
        <v>213</v>
      </c>
    </row>
    <row r="3">
      <c r="C3" s="108">
        <v>0.1</v>
      </c>
      <c r="D3" s="20" t="s">
        <v>214</v>
      </c>
    </row>
    <row r="4">
      <c r="A4" s="30" t="s">
        <v>126</v>
      </c>
      <c r="B4" s="30" t="s">
        <v>215</v>
      </c>
      <c r="C4" s="32" t="s">
        <v>216</v>
      </c>
    </row>
    <row r="5">
      <c r="A5" s="20" t="s">
        <v>135</v>
      </c>
      <c r="B5" s="20">
        <v>12.99</v>
      </c>
      <c r="C5" s="55">
        <f>round(B5*(1-discount),2)</f>
        <v>11.69</v>
      </c>
    </row>
    <row r="6">
      <c r="A6" s="20" t="s">
        <v>136</v>
      </c>
      <c r="B6" s="20">
        <v>12.99</v>
      </c>
      <c r="C6" s="55">
        <f>round(B6*(1-discount),2)</f>
        <v>11.69</v>
      </c>
    </row>
    <row r="7">
      <c r="A7" s="20" t="s">
        <v>137</v>
      </c>
      <c r="B7" s="20">
        <v>10.0</v>
      </c>
      <c r="C7" s="55">
        <f>round(B7*(1-discount),2)</f>
        <v>9</v>
      </c>
    </row>
    <row r="8">
      <c r="A8" s="20" t="s">
        <v>135</v>
      </c>
      <c r="B8" s="20">
        <v>13.5</v>
      </c>
      <c r="C8" s="55">
        <f>round(B8*(1-discount),2)</f>
        <v>12.15</v>
      </c>
    </row>
    <row r="9">
      <c r="A9" s="20" t="s">
        <v>136</v>
      </c>
      <c r="B9" s="20">
        <v>13.5</v>
      </c>
      <c r="C9" s="55">
        <f>round(B9*(1-discount),2)</f>
        <v>12.15</v>
      </c>
    </row>
    <row r="10">
      <c r="A10" s="20" t="s">
        <v>138</v>
      </c>
      <c r="B10" s="20">
        <v>59.99</v>
      </c>
      <c r="C10" s="55">
        <f>round(B10*(1-discount),2)</f>
        <v>53.99</v>
      </c>
    </row>
    <row r="11">
      <c r="A11" s="20" t="s">
        <v>139</v>
      </c>
      <c r="B11" s="20">
        <v>24.65</v>
      </c>
      <c r="C11" s="55">
        <f>round(B11*(1-discount),2)</f>
        <v>22.19</v>
      </c>
    </row>
    <row r="12">
      <c r="A12" s="20" t="s">
        <v>140</v>
      </c>
      <c r="B12" s="20">
        <v>19.99</v>
      </c>
      <c r="C12" s="55">
        <f>round(B12*(1-discount),2)</f>
        <v>17.99</v>
      </c>
    </row>
    <row r="13">
      <c r="A13" s="20" t="s">
        <v>141</v>
      </c>
      <c r="B13" s="20">
        <v>24.65</v>
      </c>
      <c r="C13" s="55">
        <f>round(B13*(1-discount),2)</f>
        <v>22.19</v>
      </c>
    </row>
    <row r="14">
      <c r="A14" s="20" t="s">
        <v>142</v>
      </c>
      <c r="B14" s="20">
        <v>6.44</v>
      </c>
      <c r="C14" s="55">
        <f>round(B14*(1-discount),2)</f>
        <v>5.8</v>
      </c>
    </row>
    <row r="15">
      <c r="A15" s="20" t="s">
        <v>143</v>
      </c>
      <c r="B15" s="20">
        <v>18.0</v>
      </c>
      <c r="C15" s="55">
        <f>round(B15*(1-discount),2)</f>
        <v>16.2</v>
      </c>
    </row>
    <row r="16">
      <c r="A16" s="20" t="s">
        <v>144</v>
      </c>
      <c r="B16" s="20">
        <v>62.55</v>
      </c>
      <c r="C16" s="55">
        <f>round(B16*(1-discount),2)</f>
        <v>56.3</v>
      </c>
    </row>
    <row r="17">
      <c r="A17" s="20" t="s">
        <v>145</v>
      </c>
      <c r="B17" s="20">
        <v>65.4</v>
      </c>
      <c r="C17" s="55">
        <f>round(B17*(1-discount),2)</f>
        <v>58.86</v>
      </c>
    </row>
    <row r="19">
      <c r="A19" s="43" t="s">
        <v>217</v>
      </c>
      <c r="B19" s="46">
        <f>round(average(prices),2)</f>
        <v>26.51</v>
      </c>
    </row>
    <row r="20">
      <c r="A20" s="43" t="s">
        <v>218</v>
      </c>
      <c r="B20" s="46">
        <f>counta(prices)</f>
        <v>13</v>
      </c>
    </row>
    <row r="23">
      <c r="A23" s="36" t="str">
        <f t="array" ref="A23:A35">Items</f>
        <v>Men Type T Simple</v>
      </c>
    </row>
    <row r="24">
      <c r="A24" s="23" t="s">
        <v>136</v>
      </c>
    </row>
    <row r="25">
      <c r="A25" s="23" t="s">
        <v>137</v>
      </c>
    </row>
    <row r="26">
      <c r="A26" s="23" t="s">
        <v>135</v>
      </c>
    </row>
    <row r="27">
      <c r="A27" s="23" t="s">
        <v>136</v>
      </c>
    </row>
    <row r="28">
      <c r="A28" s="23" t="s">
        <v>138</v>
      </c>
    </row>
    <row r="29">
      <c r="A29" s="23" t="s">
        <v>139</v>
      </c>
    </row>
    <row r="30">
      <c r="A30" s="23" t="s">
        <v>140</v>
      </c>
    </row>
    <row r="31">
      <c r="A31" s="23" t="s">
        <v>141</v>
      </c>
    </row>
    <row r="32">
      <c r="A32" s="23" t="s">
        <v>142</v>
      </c>
    </row>
    <row r="33">
      <c r="A33" s="23" t="s">
        <v>143</v>
      </c>
    </row>
    <row r="34">
      <c r="A34" s="23" t="s">
        <v>144</v>
      </c>
    </row>
    <row r="35">
      <c r="A35" s="23" t="s">
        <v>145</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2A846"/>
    <outlinePr summaryBelow="0" summaryRight="0"/>
  </sheetPr>
  <sheetViews>
    <sheetView workbookViewId="0"/>
  </sheetViews>
  <sheetFormatPr customHeight="1" defaultColWidth="12.63" defaultRowHeight="15.75"/>
  <cols>
    <col customWidth="1" min="4" max="4" width="22.25"/>
    <col customWidth="1" min="5" max="5" width="10.63"/>
    <col customWidth="1" min="6" max="6" width="4.38"/>
    <col customWidth="1" min="7" max="7" width="8.75"/>
    <col customWidth="1" min="8" max="8" width="19.5"/>
  </cols>
  <sheetData>
    <row r="1">
      <c r="A1" s="18" t="s">
        <v>219</v>
      </c>
      <c r="B1" s="19"/>
      <c r="C1" s="19"/>
      <c r="D1" s="19"/>
      <c r="E1" s="19"/>
    </row>
    <row r="2">
      <c r="A2" s="20" t="s">
        <v>220</v>
      </c>
    </row>
    <row r="3">
      <c r="A3" s="20" t="s">
        <v>221</v>
      </c>
      <c r="H3" s="49" t="s">
        <v>222</v>
      </c>
      <c r="I3" s="109">
        <v>43921.0</v>
      </c>
    </row>
    <row r="4">
      <c r="H4" s="49" t="s">
        <v>223</v>
      </c>
      <c r="I4" s="109">
        <v>44133.0</v>
      </c>
    </row>
    <row r="5">
      <c r="A5" s="30" t="s">
        <v>224</v>
      </c>
      <c r="B5" s="30" t="s">
        <v>225</v>
      </c>
      <c r="C5" s="30" t="s">
        <v>226</v>
      </c>
      <c r="D5" s="30" t="s">
        <v>227</v>
      </c>
      <c r="E5" s="30" t="s">
        <v>228</v>
      </c>
    </row>
    <row r="6">
      <c r="A6" s="20">
        <v>71162.0</v>
      </c>
      <c r="B6" s="110">
        <v>43831.0</v>
      </c>
      <c r="C6" s="20" t="s">
        <v>229</v>
      </c>
      <c r="D6" s="20" t="s">
        <v>230</v>
      </c>
      <c r="E6" s="23">
        <v>410.0</v>
      </c>
      <c r="H6" s="49" t="s">
        <v>231</v>
      </c>
      <c r="I6" s="46">
        <f>round(AVERAGEIFS(E6:E549,B6:B549,"&gt;="&amp;I3,B6:B549,"&lt;="&amp;I4),0)</f>
        <v>289</v>
      </c>
      <c r="J6" s="20" t="s">
        <v>232</v>
      </c>
      <c r="O6" s="110"/>
    </row>
    <row r="7">
      <c r="A7" s="20">
        <v>71107.0</v>
      </c>
      <c r="B7" s="110">
        <v>43831.0</v>
      </c>
      <c r="C7" s="20" t="s">
        <v>229</v>
      </c>
      <c r="D7" s="20" t="s">
        <v>233</v>
      </c>
      <c r="E7" s="23">
        <v>341.0</v>
      </c>
      <c r="H7" s="49" t="s">
        <v>234</v>
      </c>
      <c r="I7" s="46">
        <f>round(average(E6:E549),0)</f>
        <v>270</v>
      </c>
      <c r="J7" s="20" t="s">
        <v>232</v>
      </c>
      <c r="O7" s="110"/>
    </row>
    <row r="8">
      <c r="A8" s="20">
        <v>71118.0</v>
      </c>
      <c r="B8" s="110">
        <v>43831.0</v>
      </c>
      <c r="C8" s="20" t="s">
        <v>229</v>
      </c>
      <c r="D8" s="20" t="s">
        <v>233</v>
      </c>
      <c r="E8" s="23">
        <v>227.0</v>
      </c>
      <c r="F8" s="111"/>
      <c r="G8" s="111" t="s">
        <v>235</v>
      </c>
      <c r="I8" s="112" t="str">
        <f>if(I6&gt;I7,"Higher",if(I6&lt;I7,"Lower",""))</f>
        <v>Higher</v>
      </c>
      <c r="O8" s="110"/>
    </row>
    <row r="9">
      <c r="A9" s="20">
        <v>71122.0</v>
      </c>
      <c r="B9" s="110">
        <v>43831.0</v>
      </c>
      <c r="C9" s="20" t="s">
        <v>229</v>
      </c>
      <c r="D9" s="20" t="s">
        <v>236</v>
      </c>
      <c r="E9" s="23">
        <v>287.0</v>
      </c>
      <c r="F9" s="111"/>
      <c r="I9" s="113"/>
      <c r="O9" s="110"/>
    </row>
    <row r="10">
      <c r="A10" s="20">
        <v>71160.0</v>
      </c>
      <c r="B10" s="110">
        <v>43831.0</v>
      </c>
      <c r="C10" s="20" t="s">
        <v>237</v>
      </c>
      <c r="D10" s="20" t="s">
        <v>238</v>
      </c>
      <c r="E10" s="23">
        <v>332.0</v>
      </c>
      <c r="F10" s="111"/>
      <c r="I10" s="114"/>
      <c r="O10" s="110"/>
    </row>
    <row r="11">
      <c r="A11" s="20">
        <v>71141.0</v>
      </c>
      <c r="B11" s="110">
        <v>43831.0</v>
      </c>
      <c r="C11" s="20" t="s">
        <v>237</v>
      </c>
      <c r="D11" s="20" t="s">
        <v>239</v>
      </c>
      <c r="E11" s="23">
        <v>209.0</v>
      </c>
      <c r="O11" s="110"/>
    </row>
    <row r="12">
      <c r="A12" s="20">
        <v>71112.0</v>
      </c>
      <c r="B12" s="110">
        <v>43831.0</v>
      </c>
      <c r="C12" s="20" t="s">
        <v>237</v>
      </c>
      <c r="D12" s="20" t="s">
        <v>240</v>
      </c>
      <c r="E12" s="23">
        <v>213.0</v>
      </c>
      <c r="H12" s="7" t="s">
        <v>241</v>
      </c>
      <c r="O12" s="110"/>
    </row>
    <row r="13">
      <c r="A13" s="20">
        <v>71133.0</v>
      </c>
      <c r="B13" s="110">
        <v>43831.0</v>
      </c>
      <c r="C13" s="20" t="s">
        <v>229</v>
      </c>
      <c r="D13" s="20" t="s">
        <v>242</v>
      </c>
      <c r="E13" s="23">
        <v>312.0</v>
      </c>
      <c r="G13" s="40" t="s">
        <v>243</v>
      </c>
      <c r="I13" s="115" t="str">
        <f>if(I6&gt; I7*(1+10%),"Higher",if(I6&lt;I7*(1-10%),"Lower","Similar"))</f>
        <v>Similar</v>
      </c>
      <c r="O13" s="110"/>
    </row>
    <row r="14">
      <c r="A14" s="20">
        <v>71112.0</v>
      </c>
      <c r="B14" s="110">
        <v>43831.0</v>
      </c>
      <c r="C14" s="20" t="s">
        <v>229</v>
      </c>
      <c r="D14" s="20" t="s">
        <v>244</v>
      </c>
      <c r="E14" s="23">
        <v>213.0</v>
      </c>
      <c r="I14" s="113"/>
      <c r="O14" s="110"/>
    </row>
    <row r="15">
      <c r="A15" s="20">
        <v>71195.0</v>
      </c>
      <c r="B15" s="110">
        <v>43841.0</v>
      </c>
      <c r="C15" s="20" t="s">
        <v>229</v>
      </c>
      <c r="D15" s="20" t="s">
        <v>245</v>
      </c>
      <c r="E15" s="23">
        <v>199.0</v>
      </c>
      <c r="I15" s="113"/>
      <c r="O15" s="110"/>
    </row>
    <row r="16">
      <c r="A16" s="20">
        <v>71123.0</v>
      </c>
      <c r="B16" s="110">
        <v>43841.0</v>
      </c>
      <c r="C16" s="20" t="s">
        <v>229</v>
      </c>
      <c r="D16" s="20" t="s">
        <v>233</v>
      </c>
      <c r="E16" s="23">
        <v>384.0</v>
      </c>
      <c r="I16" s="114"/>
      <c r="O16" s="110"/>
    </row>
    <row r="17">
      <c r="A17" s="20">
        <v>71110.0</v>
      </c>
      <c r="B17" s="110">
        <v>43841.0</v>
      </c>
      <c r="C17" s="20" t="s">
        <v>237</v>
      </c>
      <c r="D17" s="20" t="s">
        <v>246</v>
      </c>
      <c r="E17" s="23">
        <v>351.0</v>
      </c>
      <c r="O17" s="110"/>
    </row>
    <row r="18">
      <c r="A18" s="20">
        <v>71126.0</v>
      </c>
      <c r="B18" s="110">
        <v>43841.0</v>
      </c>
      <c r="C18" s="20" t="s">
        <v>237</v>
      </c>
      <c r="D18" s="20" t="s">
        <v>247</v>
      </c>
      <c r="E18" s="23">
        <v>323.0</v>
      </c>
      <c r="O18" s="110"/>
    </row>
    <row r="19">
      <c r="A19" s="20">
        <v>71166.0</v>
      </c>
      <c r="B19" s="110">
        <v>43841.0</v>
      </c>
      <c r="C19" s="20" t="s">
        <v>237</v>
      </c>
      <c r="D19" s="20" t="s">
        <v>239</v>
      </c>
      <c r="E19" s="23">
        <v>363.0</v>
      </c>
      <c r="O19" s="110"/>
    </row>
    <row r="20">
      <c r="A20" s="20">
        <v>71137.0</v>
      </c>
      <c r="B20" s="110">
        <v>43841.0</v>
      </c>
      <c r="C20" s="20" t="s">
        <v>229</v>
      </c>
      <c r="D20" s="20" t="s">
        <v>248</v>
      </c>
      <c r="E20" s="23">
        <v>370.0</v>
      </c>
      <c r="O20" s="110"/>
    </row>
    <row r="21">
      <c r="A21" s="20">
        <v>71176.0</v>
      </c>
      <c r="B21" s="110">
        <v>43841.0</v>
      </c>
      <c r="C21" s="20" t="s">
        <v>229</v>
      </c>
      <c r="D21" s="20" t="s">
        <v>240</v>
      </c>
      <c r="E21" s="23">
        <v>392.0</v>
      </c>
      <c r="O21" s="110"/>
    </row>
    <row r="22">
      <c r="A22" s="20">
        <v>71173.0</v>
      </c>
      <c r="B22" s="110">
        <v>43841.0</v>
      </c>
      <c r="C22" s="20" t="s">
        <v>237</v>
      </c>
      <c r="D22" s="20" t="s">
        <v>248</v>
      </c>
      <c r="E22" s="23">
        <v>236.0</v>
      </c>
      <c r="O22" s="110"/>
    </row>
    <row r="23">
      <c r="A23" s="20">
        <v>71194.0</v>
      </c>
      <c r="B23" s="110">
        <v>43841.0</v>
      </c>
      <c r="C23" s="20" t="s">
        <v>237</v>
      </c>
      <c r="D23" s="20" t="s">
        <v>249</v>
      </c>
      <c r="E23" s="23">
        <v>200.0</v>
      </c>
      <c r="O23" s="110"/>
    </row>
    <row r="24">
      <c r="A24" s="20">
        <v>71166.0</v>
      </c>
      <c r="B24" s="110">
        <v>43841.0</v>
      </c>
      <c r="C24" s="20" t="s">
        <v>229</v>
      </c>
      <c r="D24" s="20" t="s">
        <v>250</v>
      </c>
      <c r="E24" s="23">
        <v>363.0</v>
      </c>
      <c r="O24" s="110"/>
    </row>
    <row r="25">
      <c r="A25" s="20">
        <v>71147.0</v>
      </c>
      <c r="B25" s="110">
        <v>43841.0</v>
      </c>
      <c r="C25" s="20" t="s">
        <v>229</v>
      </c>
      <c r="D25" s="20" t="s">
        <v>236</v>
      </c>
      <c r="E25" s="23">
        <v>314.0</v>
      </c>
      <c r="O25" s="110"/>
    </row>
    <row r="26">
      <c r="A26" s="20">
        <v>71130.0</v>
      </c>
      <c r="B26" s="110">
        <v>43841.0</v>
      </c>
      <c r="C26" s="20" t="s">
        <v>229</v>
      </c>
      <c r="D26" s="20" t="s">
        <v>238</v>
      </c>
      <c r="E26" s="23">
        <v>183.0</v>
      </c>
      <c r="O26" s="110"/>
    </row>
    <row r="27">
      <c r="A27" s="20">
        <v>71112.0</v>
      </c>
      <c r="B27" s="110">
        <v>43841.0</v>
      </c>
      <c r="C27" s="20" t="s">
        <v>237</v>
      </c>
      <c r="D27" s="20" t="s">
        <v>236</v>
      </c>
      <c r="E27" s="23">
        <v>213.0</v>
      </c>
      <c r="O27" s="110"/>
    </row>
    <row r="28">
      <c r="A28" s="20">
        <v>71185.0</v>
      </c>
      <c r="B28" s="110">
        <v>43841.0</v>
      </c>
      <c r="C28" s="20" t="s">
        <v>237</v>
      </c>
      <c r="D28" s="20" t="s">
        <v>251</v>
      </c>
      <c r="E28" s="23">
        <v>267.0</v>
      </c>
      <c r="O28" s="110"/>
    </row>
    <row r="29">
      <c r="A29" s="20">
        <v>71189.0</v>
      </c>
      <c r="B29" s="110">
        <v>43841.0</v>
      </c>
      <c r="C29" s="20" t="s">
        <v>229</v>
      </c>
      <c r="D29" s="20" t="s">
        <v>252</v>
      </c>
      <c r="E29" s="23">
        <v>435.0</v>
      </c>
      <c r="O29" s="110"/>
    </row>
    <row r="30">
      <c r="A30" s="20">
        <v>71178.0</v>
      </c>
      <c r="B30" s="110">
        <v>43841.0</v>
      </c>
      <c r="C30" s="20" t="s">
        <v>229</v>
      </c>
      <c r="D30" s="20" t="s">
        <v>230</v>
      </c>
      <c r="E30" s="23">
        <v>426.0</v>
      </c>
      <c r="O30" s="110"/>
    </row>
    <row r="31">
      <c r="A31" s="20">
        <v>71149.0</v>
      </c>
      <c r="B31" s="110">
        <v>43841.0</v>
      </c>
      <c r="C31" s="20" t="s">
        <v>237</v>
      </c>
      <c r="D31" s="20" t="s">
        <v>247</v>
      </c>
      <c r="E31" s="23">
        <v>288.0</v>
      </c>
      <c r="O31" s="110"/>
    </row>
    <row r="32">
      <c r="A32" s="20">
        <v>71181.0</v>
      </c>
      <c r="B32" s="110">
        <v>43841.0</v>
      </c>
      <c r="C32" s="20" t="s">
        <v>237</v>
      </c>
      <c r="D32" s="20" t="s">
        <v>253</v>
      </c>
      <c r="E32" s="23">
        <v>346.0</v>
      </c>
      <c r="O32" s="110"/>
    </row>
    <row r="33">
      <c r="A33" s="20">
        <v>71181.0</v>
      </c>
      <c r="B33" s="110">
        <v>43841.0</v>
      </c>
      <c r="C33" s="20" t="s">
        <v>237</v>
      </c>
      <c r="D33" s="20" t="s">
        <v>247</v>
      </c>
      <c r="E33" s="23">
        <v>346.0</v>
      </c>
      <c r="O33" s="110"/>
    </row>
    <row r="34">
      <c r="A34" s="20">
        <v>71190.0</v>
      </c>
      <c r="B34" s="110">
        <v>43841.0</v>
      </c>
      <c r="C34" s="20" t="s">
        <v>229</v>
      </c>
      <c r="D34" s="20" t="s">
        <v>242</v>
      </c>
      <c r="E34" s="23">
        <v>196.0</v>
      </c>
      <c r="O34" s="110"/>
    </row>
    <row r="35">
      <c r="A35" s="20">
        <v>71117.0</v>
      </c>
      <c r="B35" s="110">
        <v>43841.0</v>
      </c>
      <c r="C35" s="20" t="s">
        <v>229</v>
      </c>
      <c r="D35" s="20" t="s">
        <v>245</v>
      </c>
      <c r="E35" s="23">
        <v>242.0</v>
      </c>
      <c r="O35" s="110"/>
    </row>
    <row r="36">
      <c r="A36" s="20">
        <v>71176.0</v>
      </c>
      <c r="B36" s="110">
        <v>43841.0</v>
      </c>
      <c r="C36" s="20" t="s">
        <v>237</v>
      </c>
      <c r="D36" s="20" t="s">
        <v>254</v>
      </c>
      <c r="E36" s="23">
        <v>392.0</v>
      </c>
      <c r="O36" s="110"/>
    </row>
    <row r="37">
      <c r="A37" s="20">
        <v>71123.0</v>
      </c>
      <c r="B37" s="110">
        <v>43841.0</v>
      </c>
      <c r="C37" s="20" t="s">
        <v>237</v>
      </c>
      <c r="D37" s="20" t="s">
        <v>253</v>
      </c>
      <c r="E37" s="23">
        <v>384.0</v>
      </c>
      <c r="O37" s="110"/>
    </row>
    <row r="38">
      <c r="A38" s="20">
        <v>71153.0</v>
      </c>
      <c r="B38" s="110">
        <v>43841.0</v>
      </c>
      <c r="C38" s="20" t="s">
        <v>237</v>
      </c>
      <c r="D38" s="20" t="s">
        <v>230</v>
      </c>
      <c r="E38" s="23">
        <v>337.0</v>
      </c>
      <c r="O38" s="110"/>
    </row>
    <row r="39">
      <c r="A39" s="20">
        <v>71123.0</v>
      </c>
      <c r="B39" s="110">
        <v>43841.0</v>
      </c>
      <c r="C39" s="20" t="s">
        <v>229</v>
      </c>
      <c r="D39" s="20" t="s">
        <v>242</v>
      </c>
      <c r="E39" s="23">
        <v>384.0</v>
      </c>
      <c r="O39" s="110"/>
    </row>
    <row r="40">
      <c r="A40" s="20">
        <v>71102.0</v>
      </c>
      <c r="B40" s="110">
        <v>43841.0</v>
      </c>
      <c r="C40" s="20" t="s">
        <v>229</v>
      </c>
      <c r="D40" s="20" t="s">
        <v>255</v>
      </c>
      <c r="E40" s="23">
        <v>243.0</v>
      </c>
      <c r="O40" s="110"/>
    </row>
    <row r="41">
      <c r="A41" s="20">
        <v>71191.0</v>
      </c>
      <c r="B41" s="110">
        <v>43851.0</v>
      </c>
      <c r="C41" s="20" t="s">
        <v>237</v>
      </c>
      <c r="D41" s="20" t="s">
        <v>256</v>
      </c>
      <c r="E41" s="23">
        <v>333.0</v>
      </c>
      <c r="O41" s="110"/>
    </row>
    <row r="42">
      <c r="A42" s="20">
        <v>71108.0</v>
      </c>
      <c r="B42" s="110">
        <v>43851.0</v>
      </c>
      <c r="C42" s="20" t="s">
        <v>237</v>
      </c>
      <c r="D42" s="20" t="s">
        <v>244</v>
      </c>
      <c r="E42" s="23">
        <v>265.0</v>
      </c>
      <c r="O42" s="110"/>
    </row>
    <row r="43">
      <c r="A43" s="20">
        <v>71185.0</v>
      </c>
      <c r="B43" s="110">
        <v>43851.0</v>
      </c>
      <c r="C43" s="20" t="s">
        <v>229</v>
      </c>
      <c r="D43" s="20" t="s">
        <v>233</v>
      </c>
      <c r="E43" s="23">
        <v>267.0</v>
      </c>
      <c r="O43" s="110"/>
    </row>
    <row r="44">
      <c r="A44" s="20">
        <v>71179.0</v>
      </c>
      <c r="B44" s="110">
        <v>43851.0</v>
      </c>
      <c r="C44" s="20" t="s">
        <v>229</v>
      </c>
      <c r="D44" s="20" t="s">
        <v>240</v>
      </c>
      <c r="E44" s="23">
        <v>407.0</v>
      </c>
      <c r="O44" s="110"/>
    </row>
    <row r="45">
      <c r="A45" s="20">
        <v>71115.0</v>
      </c>
      <c r="B45" s="110">
        <v>43851.0</v>
      </c>
      <c r="C45" s="20" t="s">
        <v>229</v>
      </c>
      <c r="D45" s="20" t="s">
        <v>251</v>
      </c>
      <c r="E45" s="23">
        <v>290.0</v>
      </c>
      <c r="O45" s="110"/>
    </row>
    <row r="46">
      <c r="A46" s="20">
        <v>71183.0</v>
      </c>
      <c r="B46" s="110">
        <v>43851.0</v>
      </c>
      <c r="C46" s="20" t="s">
        <v>237</v>
      </c>
      <c r="D46" s="20" t="s">
        <v>238</v>
      </c>
      <c r="E46" s="23">
        <v>366.0</v>
      </c>
      <c r="O46" s="110"/>
    </row>
    <row r="47">
      <c r="A47" s="20">
        <v>71188.0</v>
      </c>
      <c r="B47" s="110">
        <v>43851.0</v>
      </c>
      <c r="C47" s="20" t="s">
        <v>237</v>
      </c>
      <c r="D47" s="20" t="s">
        <v>245</v>
      </c>
      <c r="E47" s="23">
        <v>376.0</v>
      </c>
      <c r="O47" s="110"/>
    </row>
    <row r="48">
      <c r="A48" s="20">
        <v>71135.0</v>
      </c>
      <c r="B48" s="110">
        <v>43851.0</v>
      </c>
      <c r="C48" s="20" t="s">
        <v>229</v>
      </c>
      <c r="D48" s="20" t="s">
        <v>239</v>
      </c>
      <c r="E48" s="23">
        <v>340.0</v>
      </c>
      <c r="O48" s="110"/>
    </row>
    <row r="49">
      <c r="A49" s="20">
        <v>71178.0</v>
      </c>
      <c r="B49" s="110">
        <v>43851.0</v>
      </c>
      <c r="C49" s="20" t="s">
        <v>229</v>
      </c>
      <c r="D49" s="20" t="s">
        <v>245</v>
      </c>
      <c r="E49" s="23">
        <v>426.0</v>
      </c>
      <c r="O49" s="110"/>
    </row>
    <row r="50">
      <c r="A50" s="20">
        <v>71120.0</v>
      </c>
      <c r="B50" s="110">
        <v>43851.0</v>
      </c>
      <c r="C50" s="20" t="s">
        <v>229</v>
      </c>
      <c r="D50" s="20" t="s">
        <v>236</v>
      </c>
      <c r="E50" s="23">
        <v>151.0</v>
      </c>
      <c r="O50" s="110"/>
    </row>
    <row r="51">
      <c r="A51" s="20">
        <v>71110.0</v>
      </c>
      <c r="B51" s="110">
        <v>43859.0</v>
      </c>
      <c r="C51" s="20" t="s">
        <v>237</v>
      </c>
      <c r="D51" s="20" t="s">
        <v>230</v>
      </c>
      <c r="E51" s="23">
        <v>351.0</v>
      </c>
      <c r="O51" s="110"/>
    </row>
    <row r="52">
      <c r="A52" s="20">
        <v>70552.0</v>
      </c>
      <c r="B52" s="110">
        <v>43863.0</v>
      </c>
      <c r="C52" s="20" t="s">
        <v>229</v>
      </c>
      <c r="D52" s="20" t="s">
        <v>244</v>
      </c>
      <c r="E52" s="23">
        <v>255.0</v>
      </c>
      <c r="O52" s="110"/>
    </row>
    <row r="53">
      <c r="A53" s="20">
        <v>71069.0</v>
      </c>
      <c r="B53" s="110">
        <v>43863.0</v>
      </c>
      <c r="C53" s="20" t="s">
        <v>229</v>
      </c>
      <c r="D53" s="20" t="s">
        <v>246</v>
      </c>
      <c r="E53" s="23">
        <v>428.0</v>
      </c>
      <c r="O53" s="110"/>
    </row>
    <row r="54">
      <c r="A54" s="20">
        <v>70310.0</v>
      </c>
      <c r="B54" s="110">
        <v>43863.0</v>
      </c>
      <c r="C54" s="20" t="s">
        <v>229</v>
      </c>
      <c r="D54" s="20" t="s">
        <v>246</v>
      </c>
      <c r="E54" s="23">
        <v>168.0</v>
      </c>
      <c r="O54" s="110"/>
    </row>
    <row r="55">
      <c r="A55" s="20">
        <v>70233.0</v>
      </c>
      <c r="B55" s="110">
        <v>43863.0</v>
      </c>
      <c r="C55" s="20" t="s">
        <v>229</v>
      </c>
      <c r="D55" s="20" t="s">
        <v>242</v>
      </c>
      <c r="E55" s="23">
        <v>177.0</v>
      </c>
      <c r="O55" s="110"/>
    </row>
    <row r="56">
      <c r="A56" s="20">
        <v>70459.0</v>
      </c>
      <c r="B56" s="110">
        <v>43863.0</v>
      </c>
      <c r="C56" s="20" t="s">
        <v>237</v>
      </c>
      <c r="D56" s="20" t="s">
        <v>239</v>
      </c>
      <c r="E56" s="23">
        <v>317.0</v>
      </c>
      <c r="O56" s="110"/>
    </row>
    <row r="57">
      <c r="A57" s="20">
        <v>70133.0</v>
      </c>
      <c r="B57" s="110">
        <v>43863.0</v>
      </c>
      <c r="C57" s="20" t="s">
        <v>237</v>
      </c>
      <c r="D57" s="20" t="s">
        <v>246</v>
      </c>
      <c r="E57" s="23">
        <v>188.0</v>
      </c>
      <c r="O57" s="110"/>
    </row>
    <row r="58">
      <c r="A58" s="20">
        <v>70158.0</v>
      </c>
      <c r="B58" s="110">
        <v>43863.0</v>
      </c>
      <c r="C58" s="20" t="s">
        <v>237</v>
      </c>
      <c r="D58" s="20" t="s">
        <v>242</v>
      </c>
      <c r="E58" s="23">
        <v>384.0</v>
      </c>
      <c r="O58" s="110"/>
    </row>
    <row r="59">
      <c r="A59" s="20">
        <v>70450.0</v>
      </c>
      <c r="B59" s="110">
        <v>43863.0</v>
      </c>
      <c r="C59" s="20" t="s">
        <v>229</v>
      </c>
      <c r="D59" s="20" t="s">
        <v>248</v>
      </c>
      <c r="E59" s="23">
        <v>275.0</v>
      </c>
      <c r="O59" s="110"/>
    </row>
    <row r="60">
      <c r="A60" s="20">
        <v>70517.0</v>
      </c>
      <c r="B60" s="110">
        <v>43863.0</v>
      </c>
      <c r="C60" s="20" t="s">
        <v>229</v>
      </c>
      <c r="D60" s="20" t="s">
        <v>251</v>
      </c>
      <c r="E60" s="23">
        <v>383.0</v>
      </c>
      <c r="O60" s="110"/>
    </row>
    <row r="61">
      <c r="A61" s="20">
        <v>70710.0</v>
      </c>
      <c r="B61" s="110">
        <v>43872.0</v>
      </c>
      <c r="C61" s="20" t="s">
        <v>229</v>
      </c>
      <c r="D61" s="20" t="s">
        <v>242</v>
      </c>
      <c r="E61" s="23">
        <v>334.0</v>
      </c>
      <c r="O61" s="110"/>
    </row>
    <row r="62">
      <c r="A62" s="20">
        <v>70984.0</v>
      </c>
      <c r="B62" s="110">
        <v>43872.0</v>
      </c>
      <c r="C62" s="20" t="s">
        <v>229</v>
      </c>
      <c r="D62" s="20" t="s">
        <v>256</v>
      </c>
      <c r="E62" s="23">
        <v>357.0</v>
      </c>
      <c r="O62" s="110"/>
    </row>
    <row r="63">
      <c r="A63" s="20">
        <v>70599.0</v>
      </c>
      <c r="B63" s="110">
        <v>43872.0</v>
      </c>
      <c r="C63" s="20" t="s">
        <v>237</v>
      </c>
      <c r="D63" s="20" t="s">
        <v>244</v>
      </c>
      <c r="E63" s="23">
        <v>238.0</v>
      </c>
      <c r="O63" s="110"/>
    </row>
    <row r="64">
      <c r="A64" s="20">
        <v>70653.0</v>
      </c>
      <c r="B64" s="110">
        <v>43872.0</v>
      </c>
      <c r="C64" s="20" t="s">
        <v>237</v>
      </c>
      <c r="D64" s="20" t="s">
        <v>247</v>
      </c>
      <c r="E64" s="23">
        <v>382.0</v>
      </c>
      <c r="O64" s="110"/>
    </row>
    <row r="65">
      <c r="A65" s="20">
        <v>70049.0</v>
      </c>
      <c r="B65" s="110">
        <v>43872.0</v>
      </c>
      <c r="C65" s="20" t="s">
        <v>237</v>
      </c>
      <c r="D65" s="20" t="s">
        <v>256</v>
      </c>
      <c r="E65" s="23">
        <v>439.0</v>
      </c>
      <c r="O65" s="110"/>
    </row>
    <row r="66">
      <c r="A66" s="20">
        <v>70144.0</v>
      </c>
      <c r="B66" s="110">
        <v>43872.0</v>
      </c>
      <c r="C66" s="20" t="s">
        <v>229</v>
      </c>
      <c r="D66" s="20" t="s">
        <v>254</v>
      </c>
      <c r="E66" s="23">
        <v>251.0</v>
      </c>
      <c r="O66" s="110"/>
    </row>
    <row r="67">
      <c r="A67" s="20">
        <v>70043.0</v>
      </c>
      <c r="B67" s="110">
        <v>43872.0</v>
      </c>
      <c r="C67" s="20" t="s">
        <v>229</v>
      </c>
      <c r="D67" s="20" t="s">
        <v>242</v>
      </c>
      <c r="E67" s="23">
        <v>254.0</v>
      </c>
      <c r="O67" s="110"/>
    </row>
    <row r="68">
      <c r="A68" s="20">
        <v>70206.0</v>
      </c>
      <c r="B68" s="110">
        <v>43873.0</v>
      </c>
      <c r="C68" s="20" t="s">
        <v>237</v>
      </c>
      <c r="D68" s="20" t="s">
        <v>255</v>
      </c>
      <c r="E68" s="23">
        <v>390.0</v>
      </c>
      <c r="O68" s="110"/>
    </row>
    <row r="69">
      <c r="A69" s="20">
        <v>70754.0</v>
      </c>
      <c r="B69" s="110">
        <v>43873.0</v>
      </c>
      <c r="C69" s="20" t="s">
        <v>237</v>
      </c>
      <c r="D69" s="20" t="s">
        <v>244</v>
      </c>
      <c r="E69" s="23">
        <v>162.0</v>
      </c>
      <c r="O69" s="110"/>
    </row>
    <row r="70">
      <c r="A70" s="20">
        <v>70524.0</v>
      </c>
      <c r="B70" s="110">
        <v>43873.0</v>
      </c>
      <c r="C70" s="20" t="s">
        <v>229</v>
      </c>
      <c r="D70" s="20" t="s">
        <v>255</v>
      </c>
      <c r="E70" s="23">
        <v>392.0</v>
      </c>
      <c r="O70" s="110"/>
    </row>
    <row r="71">
      <c r="A71" s="20">
        <v>70442.0</v>
      </c>
      <c r="B71" s="110">
        <v>43873.0</v>
      </c>
      <c r="C71" s="20" t="s">
        <v>229</v>
      </c>
      <c r="D71" s="20" t="s">
        <v>233</v>
      </c>
      <c r="E71" s="23">
        <v>150.0</v>
      </c>
      <c r="O71" s="110"/>
    </row>
    <row r="72">
      <c r="A72" s="20">
        <v>71015.0</v>
      </c>
      <c r="B72" s="110">
        <v>43873.0</v>
      </c>
      <c r="C72" s="20" t="s">
        <v>229</v>
      </c>
      <c r="D72" s="20" t="s">
        <v>256</v>
      </c>
      <c r="E72" s="23">
        <v>197.0</v>
      </c>
      <c r="O72" s="110"/>
    </row>
    <row r="73">
      <c r="A73" s="20">
        <v>71099.0</v>
      </c>
      <c r="B73" s="110">
        <v>43873.0</v>
      </c>
      <c r="C73" s="20" t="s">
        <v>237</v>
      </c>
      <c r="D73" s="20" t="s">
        <v>240</v>
      </c>
      <c r="E73" s="23">
        <v>440.0</v>
      </c>
      <c r="O73" s="110"/>
    </row>
    <row r="74">
      <c r="A74" s="20">
        <v>70621.0</v>
      </c>
      <c r="B74" s="110">
        <v>43873.0</v>
      </c>
      <c r="C74" s="20" t="s">
        <v>237</v>
      </c>
      <c r="D74" s="20" t="s">
        <v>255</v>
      </c>
      <c r="E74" s="23">
        <v>196.0</v>
      </c>
      <c r="O74" s="110"/>
    </row>
    <row r="75">
      <c r="A75" s="20">
        <v>70083.0</v>
      </c>
      <c r="B75" s="110">
        <v>43873.0</v>
      </c>
      <c r="C75" s="20" t="s">
        <v>229</v>
      </c>
      <c r="D75" s="20" t="s">
        <v>233</v>
      </c>
      <c r="E75" s="23">
        <v>210.0</v>
      </c>
      <c r="O75" s="110"/>
    </row>
    <row r="76">
      <c r="A76" s="20">
        <v>70394.0</v>
      </c>
      <c r="B76" s="110">
        <v>43873.0</v>
      </c>
      <c r="C76" s="20" t="s">
        <v>229</v>
      </c>
      <c r="D76" s="20" t="s">
        <v>238</v>
      </c>
      <c r="E76" s="23">
        <v>293.0</v>
      </c>
      <c r="O76" s="110"/>
    </row>
    <row r="77">
      <c r="A77" s="20">
        <v>70007.0</v>
      </c>
      <c r="B77" s="110">
        <v>43873.0</v>
      </c>
      <c r="C77" s="20" t="s">
        <v>237</v>
      </c>
      <c r="D77" s="20" t="s">
        <v>239</v>
      </c>
      <c r="E77" s="23">
        <v>187.0</v>
      </c>
      <c r="O77" s="110"/>
    </row>
    <row r="78">
      <c r="A78" s="20">
        <v>70130.0</v>
      </c>
      <c r="B78" s="110">
        <v>43873.0</v>
      </c>
      <c r="C78" s="20" t="s">
        <v>237</v>
      </c>
      <c r="D78" s="20" t="s">
        <v>256</v>
      </c>
      <c r="E78" s="23">
        <v>364.0</v>
      </c>
      <c r="O78" s="110"/>
    </row>
    <row r="79">
      <c r="A79" s="20">
        <v>70331.0</v>
      </c>
      <c r="B79" s="110">
        <v>43873.0</v>
      </c>
      <c r="C79" s="20" t="s">
        <v>237</v>
      </c>
      <c r="D79" s="20" t="s">
        <v>254</v>
      </c>
      <c r="E79" s="23">
        <v>175.0</v>
      </c>
      <c r="O79" s="110"/>
    </row>
    <row r="80">
      <c r="A80" s="20">
        <v>70646.0</v>
      </c>
      <c r="B80" s="110">
        <v>43873.0</v>
      </c>
      <c r="C80" s="20" t="s">
        <v>229</v>
      </c>
      <c r="D80" s="20" t="s">
        <v>246</v>
      </c>
      <c r="E80" s="23">
        <v>313.0</v>
      </c>
      <c r="O80" s="110"/>
    </row>
    <row r="81">
      <c r="A81" s="20">
        <v>70489.0</v>
      </c>
      <c r="B81" s="110">
        <v>43873.0</v>
      </c>
      <c r="C81" s="20" t="s">
        <v>229</v>
      </c>
      <c r="D81" s="20" t="s">
        <v>239</v>
      </c>
      <c r="E81" s="23">
        <v>378.0</v>
      </c>
      <c r="O81" s="110"/>
    </row>
    <row r="82">
      <c r="A82" s="20">
        <v>70732.0</v>
      </c>
      <c r="B82" s="110">
        <v>43873.0</v>
      </c>
      <c r="C82" s="20" t="s">
        <v>237</v>
      </c>
      <c r="D82" s="20" t="s">
        <v>247</v>
      </c>
      <c r="E82" s="23">
        <v>365.0</v>
      </c>
      <c r="O82" s="110"/>
    </row>
    <row r="83">
      <c r="A83" s="20">
        <v>70386.0</v>
      </c>
      <c r="B83" s="110">
        <v>43873.0</v>
      </c>
      <c r="C83" s="20" t="s">
        <v>237</v>
      </c>
      <c r="D83" s="20" t="s">
        <v>250</v>
      </c>
      <c r="E83" s="23">
        <v>369.0</v>
      </c>
      <c r="O83" s="110"/>
    </row>
    <row r="84">
      <c r="A84" s="20">
        <v>70070.0</v>
      </c>
      <c r="B84" s="110">
        <v>43873.0</v>
      </c>
      <c r="C84" s="20" t="s">
        <v>237</v>
      </c>
      <c r="D84" s="20" t="s">
        <v>236</v>
      </c>
      <c r="E84" s="23">
        <v>192.0</v>
      </c>
      <c r="O84" s="110"/>
    </row>
    <row r="85">
      <c r="A85" s="20">
        <v>70055.0</v>
      </c>
      <c r="B85" s="110">
        <v>43873.0</v>
      </c>
      <c r="C85" s="20" t="s">
        <v>229</v>
      </c>
      <c r="D85" s="20" t="s">
        <v>252</v>
      </c>
      <c r="E85" s="23">
        <v>377.0</v>
      </c>
      <c r="O85" s="110"/>
    </row>
    <row r="86">
      <c r="A86" s="20">
        <v>70698.0</v>
      </c>
      <c r="B86" s="110">
        <v>43873.0</v>
      </c>
      <c r="C86" s="20" t="s">
        <v>229</v>
      </c>
      <c r="D86" s="20" t="s">
        <v>245</v>
      </c>
      <c r="E86" s="23">
        <v>403.0</v>
      </c>
      <c r="O86" s="110"/>
    </row>
    <row r="87">
      <c r="A87" s="20">
        <v>70863.0</v>
      </c>
      <c r="B87" s="110">
        <v>43882.0</v>
      </c>
      <c r="C87" s="20" t="s">
        <v>237</v>
      </c>
      <c r="D87" s="20" t="s">
        <v>247</v>
      </c>
      <c r="E87" s="23">
        <v>359.0</v>
      </c>
      <c r="O87" s="110"/>
    </row>
    <row r="88">
      <c r="A88" s="20">
        <v>70003.0</v>
      </c>
      <c r="B88" s="110">
        <v>43882.0</v>
      </c>
      <c r="C88" s="20" t="s">
        <v>237</v>
      </c>
      <c r="D88" s="20" t="s">
        <v>242</v>
      </c>
      <c r="E88" s="23">
        <v>411.0</v>
      </c>
      <c r="O88" s="110"/>
    </row>
    <row r="89">
      <c r="A89" s="20">
        <v>70778.0</v>
      </c>
      <c r="B89" s="110">
        <v>43882.0</v>
      </c>
      <c r="C89" s="20" t="s">
        <v>229</v>
      </c>
      <c r="D89" s="20" t="s">
        <v>236</v>
      </c>
      <c r="E89" s="23">
        <v>212.0</v>
      </c>
      <c r="O89" s="110"/>
    </row>
    <row r="90">
      <c r="A90" s="20">
        <v>70096.0</v>
      </c>
      <c r="B90" s="110">
        <v>43882.0</v>
      </c>
      <c r="C90" s="20" t="s">
        <v>229</v>
      </c>
      <c r="D90" s="20" t="s">
        <v>252</v>
      </c>
      <c r="E90" s="23">
        <v>383.0</v>
      </c>
      <c r="O90" s="110"/>
    </row>
    <row r="91">
      <c r="A91" s="20">
        <v>70822.0</v>
      </c>
      <c r="B91" s="110">
        <v>43882.0</v>
      </c>
      <c r="C91" s="20" t="s">
        <v>229</v>
      </c>
      <c r="D91" s="20" t="s">
        <v>247</v>
      </c>
      <c r="E91" s="23">
        <v>410.0</v>
      </c>
      <c r="O91" s="110"/>
    </row>
    <row r="92">
      <c r="A92" s="20">
        <v>70373.0</v>
      </c>
      <c r="B92" s="110">
        <v>43882.0</v>
      </c>
      <c r="C92" s="20" t="s">
        <v>237</v>
      </c>
      <c r="D92" s="20" t="s">
        <v>255</v>
      </c>
      <c r="E92" s="23">
        <v>299.0</v>
      </c>
      <c r="O92" s="110"/>
    </row>
    <row r="93">
      <c r="A93" s="20">
        <v>70083.0</v>
      </c>
      <c r="B93" s="110">
        <v>43882.0</v>
      </c>
      <c r="C93" s="20" t="s">
        <v>237</v>
      </c>
      <c r="D93" s="20" t="s">
        <v>245</v>
      </c>
      <c r="E93" s="23">
        <v>210.0</v>
      </c>
      <c r="O93" s="110"/>
    </row>
    <row r="94">
      <c r="A94" s="20">
        <v>71085.0</v>
      </c>
      <c r="B94" s="110">
        <v>43883.0</v>
      </c>
      <c r="C94" s="20" t="s">
        <v>229</v>
      </c>
      <c r="D94" s="20" t="s">
        <v>255</v>
      </c>
      <c r="E94" s="23">
        <v>201.0</v>
      </c>
      <c r="O94" s="110"/>
    </row>
    <row r="95">
      <c r="A95" s="20">
        <v>70330.0</v>
      </c>
      <c r="B95" s="110">
        <v>43883.0</v>
      </c>
      <c r="C95" s="20" t="s">
        <v>229</v>
      </c>
      <c r="D95" s="20" t="s">
        <v>248</v>
      </c>
      <c r="E95" s="23">
        <v>326.0</v>
      </c>
      <c r="O95" s="110"/>
    </row>
    <row r="96">
      <c r="A96" s="20">
        <v>70928.0</v>
      </c>
      <c r="B96" s="110">
        <v>43883.0</v>
      </c>
      <c r="C96" s="20" t="s">
        <v>229</v>
      </c>
      <c r="D96" s="20" t="s">
        <v>253</v>
      </c>
      <c r="E96" s="23">
        <v>340.0</v>
      </c>
      <c r="O96" s="110"/>
    </row>
    <row r="97">
      <c r="A97" s="20">
        <v>70242.0</v>
      </c>
      <c r="B97" s="110">
        <v>43890.0</v>
      </c>
      <c r="C97" s="20" t="s">
        <v>237</v>
      </c>
      <c r="D97" s="20" t="s">
        <v>247</v>
      </c>
      <c r="E97" s="23">
        <v>265.0</v>
      </c>
      <c r="O97" s="110"/>
    </row>
    <row r="98">
      <c r="A98" s="20">
        <v>69513.0</v>
      </c>
      <c r="B98" s="110">
        <v>43893.0</v>
      </c>
      <c r="C98" s="20" t="s">
        <v>229</v>
      </c>
      <c r="D98" s="20" t="s">
        <v>240</v>
      </c>
      <c r="E98" s="23">
        <v>296.0</v>
      </c>
      <c r="O98" s="110"/>
    </row>
    <row r="99">
      <c r="A99" s="20">
        <v>69106.0</v>
      </c>
      <c r="B99" s="110">
        <v>43893.0</v>
      </c>
      <c r="C99" s="20" t="s">
        <v>229</v>
      </c>
      <c r="D99" s="20" t="s">
        <v>242</v>
      </c>
      <c r="E99" s="23">
        <v>224.0</v>
      </c>
      <c r="O99" s="110"/>
    </row>
    <row r="100">
      <c r="A100" s="20">
        <v>69187.0</v>
      </c>
      <c r="B100" s="110">
        <v>43893.0</v>
      </c>
      <c r="C100" s="20" t="s">
        <v>229</v>
      </c>
      <c r="D100" s="20" t="s">
        <v>236</v>
      </c>
      <c r="E100" s="23">
        <v>442.0</v>
      </c>
      <c r="O100" s="110"/>
    </row>
    <row r="101">
      <c r="A101" s="20">
        <v>69805.0</v>
      </c>
      <c r="B101" s="110">
        <v>43893.0</v>
      </c>
      <c r="C101" s="20" t="s">
        <v>229</v>
      </c>
      <c r="D101" s="20" t="s">
        <v>242</v>
      </c>
      <c r="E101" s="23">
        <v>151.0</v>
      </c>
      <c r="O101" s="110"/>
    </row>
    <row r="102">
      <c r="A102" s="20">
        <v>69714.0</v>
      </c>
      <c r="B102" s="110">
        <v>43893.0</v>
      </c>
      <c r="C102" s="20" t="s">
        <v>237</v>
      </c>
      <c r="D102" s="20" t="s">
        <v>247</v>
      </c>
      <c r="E102" s="23">
        <v>387.0</v>
      </c>
      <c r="O102" s="110"/>
    </row>
    <row r="103">
      <c r="A103" s="20">
        <v>69988.0</v>
      </c>
      <c r="B103" s="110">
        <v>43893.0</v>
      </c>
      <c r="C103" s="20" t="s">
        <v>237</v>
      </c>
      <c r="D103" s="20" t="s">
        <v>240</v>
      </c>
      <c r="E103" s="23">
        <v>420.0</v>
      </c>
      <c r="O103" s="110"/>
    </row>
    <row r="104">
      <c r="A104" s="20">
        <v>69281.0</v>
      </c>
      <c r="B104" s="110">
        <v>43893.0</v>
      </c>
      <c r="C104" s="20" t="s">
        <v>237</v>
      </c>
      <c r="D104" s="20" t="s">
        <v>251</v>
      </c>
      <c r="E104" s="23">
        <v>152.0</v>
      </c>
      <c r="O104" s="110"/>
    </row>
    <row r="105">
      <c r="A105" s="20">
        <v>69997.0</v>
      </c>
      <c r="B105" s="110">
        <v>43893.0</v>
      </c>
      <c r="C105" s="20" t="s">
        <v>229</v>
      </c>
      <c r="D105" s="20" t="s">
        <v>240</v>
      </c>
      <c r="E105" s="23">
        <v>201.0</v>
      </c>
      <c r="O105" s="110"/>
    </row>
    <row r="106">
      <c r="A106" s="20">
        <v>69045.0</v>
      </c>
      <c r="B106" s="110">
        <v>43893.0</v>
      </c>
      <c r="C106" s="20" t="s">
        <v>229</v>
      </c>
      <c r="D106" s="20" t="s">
        <v>247</v>
      </c>
      <c r="E106" s="23">
        <v>256.0</v>
      </c>
      <c r="O106" s="110"/>
    </row>
    <row r="107">
      <c r="A107" s="20">
        <v>69217.0</v>
      </c>
      <c r="B107" s="110">
        <v>43901.0</v>
      </c>
      <c r="C107" s="20" t="s">
        <v>229</v>
      </c>
      <c r="D107" s="20" t="s">
        <v>240</v>
      </c>
      <c r="E107" s="23">
        <v>414.0</v>
      </c>
      <c r="O107" s="110"/>
    </row>
    <row r="108">
      <c r="A108" s="20">
        <v>69513.0</v>
      </c>
      <c r="B108" s="110">
        <v>43901.0</v>
      </c>
      <c r="C108" s="20" t="s">
        <v>229</v>
      </c>
      <c r="D108" s="20" t="s">
        <v>246</v>
      </c>
      <c r="E108" s="23">
        <v>296.0</v>
      </c>
      <c r="O108" s="110"/>
    </row>
    <row r="109">
      <c r="A109" s="20">
        <v>69234.0</v>
      </c>
      <c r="B109" s="110">
        <v>43901.0</v>
      </c>
      <c r="C109" s="20" t="s">
        <v>237</v>
      </c>
      <c r="D109" s="20" t="s">
        <v>245</v>
      </c>
      <c r="E109" s="23">
        <v>194.0</v>
      </c>
      <c r="O109" s="110"/>
    </row>
    <row r="110">
      <c r="A110" s="20">
        <v>69645.0</v>
      </c>
      <c r="B110" s="110">
        <v>43901.0</v>
      </c>
      <c r="C110" s="20" t="s">
        <v>237</v>
      </c>
      <c r="D110" s="20" t="s">
        <v>256</v>
      </c>
      <c r="E110" s="23">
        <v>196.0</v>
      </c>
      <c r="O110" s="110"/>
    </row>
    <row r="111">
      <c r="A111" s="20">
        <v>69191.0</v>
      </c>
      <c r="B111" s="110">
        <v>43901.0</v>
      </c>
      <c r="C111" s="20" t="s">
        <v>237</v>
      </c>
      <c r="D111" s="20" t="s">
        <v>251</v>
      </c>
      <c r="E111" s="23">
        <v>246.0</v>
      </c>
      <c r="O111" s="110"/>
    </row>
    <row r="112">
      <c r="A112" s="20">
        <v>69930.0</v>
      </c>
      <c r="B112" s="110">
        <v>43901.0</v>
      </c>
      <c r="C112" s="20" t="s">
        <v>229</v>
      </c>
      <c r="D112" s="20" t="s">
        <v>255</v>
      </c>
      <c r="E112" s="23">
        <v>317.0</v>
      </c>
      <c r="O112" s="110"/>
    </row>
    <row r="113">
      <c r="A113" s="20">
        <v>69222.0</v>
      </c>
      <c r="B113" s="110">
        <v>43901.0</v>
      </c>
      <c r="C113" s="20" t="s">
        <v>229</v>
      </c>
      <c r="D113" s="20" t="s">
        <v>256</v>
      </c>
      <c r="E113" s="23">
        <v>328.0</v>
      </c>
      <c r="O113" s="110"/>
    </row>
    <row r="114">
      <c r="A114" s="20">
        <v>69973.0</v>
      </c>
      <c r="B114" s="110">
        <v>43903.0</v>
      </c>
      <c r="C114" s="20" t="s">
        <v>237</v>
      </c>
      <c r="D114" s="20" t="s">
        <v>247</v>
      </c>
      <c r="E114" s="23">
        <v>248.0</v>
      </c>
      <c r="O114" s="110"/>
    </row>
    <row r="115">
      <c r="A115" s="20">
        <v>69978.0</v>
      </c>
      <c r="B115" s="110">
        <v>43903.0</v>
      </c>
      <c r="C115" s="20" t="s">
        <v>237</v>
      </c>
      <c r="D115" s="20" t="s">
        <v>246</v>
      </c>
      <c r="E115" s="23">
        <v>305.0</v>
      </c>
      <c r="O115" s="110"/>
    </row>
    <row r="116">
      <c r="A116" s="20">
        <v>69706.0</v>
      </c>
      <c r="B116" s="110">
        <v>43903.0</v>
      </c>
      <c r="C116" s="20" t="s">
        <v>229</v>
      </c>
      <c r="D116" s="20" t="s">
        <v>248</v>
      </c>
      <c r="E116" s="23">
        <v>397.0</v>
      </c>
      <c r="O116" s="110"/>
    </row>
    <row r="117">
      <c r="A117" s="20">
        <v>69770.0</v>
      </c>
      <c r="B117" s="110">
        <v>43903.0</v>
      </c>
      <c r="C117" s="20" t="s">
        <v>229</v>
      </c>
      <c r="D117" s="20" t="s">
        <v>236</v>
      </c>
      <c r="E117" s="23">
        <v>403.0</v>
      </c>
      <c r="O117" s="110"/>
    </row>
    <row r="118">
      <c r="A118" s="20">
        <v>69409.0</v>
      </c>
      <c r="B118" s="110">
        <v>43903.0</v>
      </c>
      <c r="C118" s="20" t="s">
        <v>229</v>
      </c>
      <c r="D118" s="20" t="s">
        <v>255</v>
      </c>
      <c r="E118" s="23">
        <v>197.0</v>
      </c>
      <c r="O118" s="110"/>
    </row>
    <row r="119">
      <c r="A119" s="20">
        <v>69586.0</v>
      </c>
      <c r="B119" s="110">
        <v>43903.0</v>
      </c>
      <c r="C119" s="20" t="s">
        <v>237</v>
      </c>
      <c r="D119" s="20" t="s">
        <v>236</v>
      </c>
      <c r="E119" s="23">
        <v>303.0</v>
      </c>
      <c r="O119" s="110"/>
    </row>
    <row r="120">
      <c r="A120" s="20">
        <v>69054.0</v>
      </c>
      <c r="B120" s="110">
        <v>43903.0</v>
      </c>
      <c r="C120" s="20" t="s">
        <v>237</v>
      </c>
      <c r="D120" s="20" t="s">
        <v>236</v>
      </c>
      <c r="E120" s="23">
        <v>270.0</v>
      </c>
      <c r="O120" s="110"/>
    </row>
    <row r="121">
      <c r="A121" s="20">
        <v>69183.0</v>
      </c>
      <c r="B121" s="110">
        <v>43903.0</v>
      </c>
      <c r="C121" s="20" t="s">
        <v>229</v>
      </c>
      <c r="D121" s="20" t="s">
        <v>238</v>
      </c>
      <c r="E121" s="23">
        <v>427.0</v>
      </c>
      <c r="O121" s="110"/>
    </row>
    <row r="122">
      <c r="A122" s="20">
        <v>69096.0</v>
      </c>
      <c r="B122" s="110">
        <v>43903.0</v>
      </c>
      <c r="C122" s="20" t="s">
        <v>229</v>
      </c>
      <c r="D122" s="20" t="s">
        <v>246</v>
      </c>
      <c r="E122" s="23">
        <v>307.0</v>
      </c>
      <c r="O122" s="110"/>
    </row>
    <row r="123">
      <c r="A123" s="20">
        <v>69513.0</v>
      </c>
      <c r="B123" s="110">
        <v>43903.0</v>
      </c>
      <c r="C123" s="20" t="s">
        <v>237</v>
      </c>
      <c r="D123" s="20" t="s">
        <v>253</v>
      </c>
      <c r="E123" s="23">
        <v>296.0</v>
      </c>
      <c r="O123" s="110"/>
    </row>
    <row r="124">
      <c r="A124" s="20">
        <v>69840.0</v>
      </c>
      <c r="B124" s="110">
        <v>43903.0</v>
      </c>
      <c r="C124" s="20" t="s">
        <v>237</v>
      </c>
      <c r="D124" s="20" t="s">
        <v>247</v>
      </c>
      <c r="E124" s="23">
        <v>434.0</v>
      </c>
      <c r="O124" s="110"/>
    </row>
    <row r="125">
      <c r="A125" s="20">
        <v>69118.0</v>
      </c>
      <c r="B125" s="110">
        <v>43903.0</v>
      </c>
      <c r="C125" s="20" t="s">
        <v>237</v>
      </c>
      <c r="D125" s="20" t="s">
        <v>240</v>
      </c>
      <c r="E125" s="23">
        <v>188.0</v>
      </c>
      <c r="O125" s="110"/>
    </row>
    <row r="126">
      <c r="A126" s="20">
        <v>69347.0</v>
      </c>
      <c r="B126" s="110">
        <v>43903.0</v>
      </c>
      <c r="C126" s="20" t="s">
        <v>229</v>
      </c>
      <c r="D126" s="20" t="s">
        <v>253</v>
      </c>
      <c r="E126" s="23">
        <v>358.0</v>
      </c>
      <c r="O126" s="110"/>
    </row>
    <row r="127">
      <c r="A127" s="20">
        <v>69000.0</v>
      </c>
      <c r="B127" s="110">
        <v>43903.0</v>
      </c>
      <c r="C127" s="20" t="s">
        <v>229</v>
      </c>
      <c r="D127" s="20" t="s">
        <v>240</v>
      </c>
      <c r="E127" s="23">
        <v>175.0</v>
      </c>
      <c r="O127" s="110"/>
    </row>
    <row r="128">
      <c r="A128" s="20">
        <v>69573.0</v>
      </c>
      <c r="B128" s="110">
        <v>43903.0</v>
      </c>
      <c r="C128" s="20" t="s">
        <v>237</v>
      </c>
      <c r="D128" s="20" t="s">
        <v>245</v>
      </c>
      <c r="E128" s="23">
        <v>158.0</v>
      </c>
      <c r="O128" s="110"/>
    </row>
    <row r="129">
      <c r="A129" s="20">
        <v>69084.0</v>
      </c>
      <c r="B129" s="110">
        <v>43903.0</v>
      </c>
      <c r="C129" s="20" t="s">
        <v>237</v>
      </c>
      <c r="D129" s="20" t="s">
        <v>240</v>
      </c>
      <c r="E129" s="23">
        <v>396.0</v>
      </c>
      <c r="O129" s="110"/>
    </row>
    <row r="130">
      <c r="A130" s="20">
        <v>69073.0</v>
      </c>
      <c r="B130" s="110">
        <v>43903.0</v>
      </c>
      <c r="C130" s="20" t="s">
        <v>237</v>
      </c>
      <c r="D130" s="20" t="s">
        <v>245</v>
      </c>
      <c r="E130" s="23">
        <v>274.0</v>
      </c>
      <c r="O130" s="110"/>
    </row>
    <row r="131">
      <c r="A131" s="20">
        <v>69614.0</v>
      </c>
      <c r="B131" s="110">
        <v>43903.0</v>
      </c>
      <c r="C131" s="20" t="s">
        <v>229</v>
      </c>
      <c r="D131" s="20" t="s">
        <v>255</v>
      </c>
      <c r="E131" s="23">
        <v>354.0</v>
      </c>
      <c r="O131" s="110"/>
    </row>
    <row r="132">
      <c r="A132" s="20">
        <v>69282.0</v>
      </c>
      <c r="B132" s="110">
        <v>43903.0</v>
      </c>
      <c r="C132" s="20" t="s">
        <v>229</v>
      </c>
      <c r="D132" s="20" t="s">
        <v>254</v>
      </c>
      <c r="E132" s="23">
        <v>212.0</v>
      </c>
      <c r="O132" s="110"/>
    </row>
    <row r="133">
      <c r="A133" s="20">
        <v>69684.0</v>
      </c>
      <c r="B133" s="110">
        <v>43911.0</v>
      </c>
      <c r="C133" s="20" t="s">
        <v>237</v>
      </c>
      <c r="D133" s="20" t="s">
        <v>247</v>
      </c>
      <c r="E133" s="23">
        <v>175.0</v>
      </c>
      <c r="O133" s="110"/>
    </row>
    <row r="134">
      <c r="A134" s="20">
        <v>69331.0</v>
      </c>
      <c r="B134" s="110">
        <v>43911.0</v>
      </c>
      <c r="C134" s="20" t="s">
        <v>237</v>
      </c>
      <c r="D134" s="20" t="s">
        <v>240</v>
      </c>
      <c r="E134" s="23">
        <v>329.0</v>
      </c>
      <c r="O134" s="110"/>
    </row>
    <row r="135">
      <c r="A135" s="20">
        <v>69866.0</v>
      </c>
      <c r="B135" s="110">
        <v>43911.0</v>
      </c>
      <c r="C135" s="20" t="s">
        <v>229</v>
      </c>
      <c r="D135" s="20" t="s">
        <v>253</v>
      </c>
      <c r="E135" s="23">
        <v>173.0</v>
      </c>
      <c r="O135" s="110"/>
    </row>
    <row r="136">
      <c r="A136" s="20">
        <v>69481.0</v>
      </c>
      <c r="B136" s="110">
        <v>43911.0</v>
      </c>
      <c r="C136" s="20" t="s">
        <v>229</v>
      </c>
      <c r="D136" s="20" t="s">
        <v>255</v>
      </c>
      <c r="E136" s="23">
        <v>339.0</v>
      </c>
      <c r="O136" s="110"/>
    </row>
    <row r="137">
      <c r="A137" s="20">
        <v>69609.0</v>
      </c>
      <c r="B137" s="110">
        <v>43911.0</v>
      </c>
      <c r="C137" s="20" t="s">
        <v>229</v>
      </c>
      <c r="D137" s="20" t="s">
        <v>245</v>
      </c>
      <c r="E137" s="23">
        <v>278.0</v>
      </c>
      <c r="O137" s="110"/>
    </row>
    <row r="138">
      <c r="A138" s="20">
        <v>69678.0</v>
      </c>
      <c r="B138" s="110">
        <v>43911.0</v>
      </c>
      <c r="C138" s="20" t="s">
        <v>237</v>
      </c>
      <c r="D138" s="20" t="s">
        <v>250</v>
      </c>
      <c r="E138" s="23">
        <v>164.0</v>
      </c>
      <c r="O138" s="110"/>
    </row>
    <row r="139">
      <c r="A139" s="20">
        <v>69657.0</v>
      </c>
      <c r="B139" s="110">
        <v>43911.0</v>
      </c>
      <c r="C139" s="20" t="s">
        <v>237</v>
      </c>
      <c r="D139" s="20" t="s">
        <v>251</v>
      </c>
      <c r="E139" s="23">
        <v>264.0</v>
      </c>
      <c r="O139" s="110"/>
    </row>
    <row r="140">
      <c r="A140" s="20">
        <v>69019.0</v>
      </c>
      <c r="B140" s="110">
        <v>43913.0</v>
      </c>
      <c r="C140" s="20" t="s">
        <v>229</v>
      </c>
      <c r="D140" s="20" t="s">
        <v>239</v>
      </c>
      <c r="E140" s="23">
        <v>443.0</v>
      </c>
      <c r="O140" s="110"/>
    </row>
    <row r="141">
      <c r="A141" s="20">
        <v>69730.0</v>
      </c>
      <c r="B141" s="110">
        <v>43913.0</v>
      </c>
      <c r="C141" s="20" t="s">
        <v>229</v>
      </c>
      <c r="D141" s="20" t="s">
        <v>238</v>
      </c>
      <c r="E141" s="23">
        <v>224.0</v>
      </c>
      <c r="O141" s="110"/>
    </row>
    <row r="142">
      <c r="A142" s="20">
        <v>69449.0</v>
      </c>
      <c r="B142" s="110">
        <v>43913.0</v>
      </c>
      <c r="C142" s="20" t="s">
        <v>229</v>
      </c>
      <c r="D142" s="20" t="s">
        <v>238</v>
      </c>
      <c r="E142" s="23">
        <v>338.0</v>
      </c>
      <c r="O142" s="110"/>
    </row>
    <row r="143">
      <c r="A143" s="20">
        <v>69836.0</v>
      </c>
      <c r="B143" s="110">
        <v>43919.0</v>
      </c>
      <c r="C143" s="20" t="s">
        <v>237</v>
      </c>
      <c r="D143" s="20" t="s">
        <v>252</v>
      </c>
      <c r="E143" s="23">
        <v>175.0</v>
      </c>
      <c r="O143" s="110"/>
    </row>
    <row r="144">
      <c r="A144" s="20">
        <v>68648.0</v>
      </c>
      <c r="B144" s="110">
        <v>43925.0</v>
      </c>
      <c r="C144" s="20" t="s">
        <v>229</v>
      </c>
      <c r="D144" s="20" t="s">
        <v>249</v>
      </c>
      <c r="E144" s="23">
        <v>425.0</v>
      </c>
      <c r="O144" s="110"/>
    </row>
    <row r="145">
      <c r="A145" s="20">
        <v>68916.0</v>
      </c>
      <c r="B145" s="110">
        <v>43925.0</v>
      </c>
      <c r="C145" s="20" t="s">
        <v>229</v>
      </c>
      <c r="D145" s="20" t="s">
        <v>245</v>
      </c>
      <c r="E145" s="23">
        <v>207.0</v>
      </c>
      <c r="O145" s="110"/>
    </row>
    <row r="146">
      <c r="A146" s="20">
        <v>68216.0</v>
      </c>
      <c r="B146" s="110">
        <v>43925.0</v>
      </c>
      <c r="C146" s="20" t="s">
        <v>229</v>
      </c>
      <c r="D146" s="20" t="s">
        <v>236</v>
      </c>
      <c r="E146" s="23">
        <v>250.0</v>
      </c>
      <c r="O146" s="110"/>
    </row>
    <row r="147">
      <c r="A147" s="20">
        <v>68365.0</v>
      </c>
      <c r="B147" s="110">
        <v>43925.0</v>
      </c>
      <c r="C147" s="20" t="s">
        <v>229</v>
      </c>
      <c r="D147" s="20" t="s">
        <v>245</v>
      </c>
      <c r="E147" s="23">
        <v>221.0</v>
      </c>
      <c r="O147" s="110"/>
    </row>
    <row r="148">
      <c r="A148" s="20">
        <v>68440.0</v>
      </c>
      <c r="B148" s="110">
        <v>43925.0</v>
      </c>
      <c r="C148" s="20" t="s">
        <v>237</v>
      </c>
      <c r="D148" s="20" t="s">
        <v>233</v>
      </c>
      <c r="E148" s="23">
        <v>382.0</v>
      </c>
      <c r="O148" s="110"/>
    </row>
    <row r="149">
      <c r="A149" s="20">
        <v>68033.0</v>
      </c>
      <c r="B149" s="110">
        <v>43925.0</v>
      </c>
      <c r="C149" s="20" t="s">
        <v>237</v>
      </c>
      <c r="D149" s="20" t="s">
        <v>246</v>
      </c>
      <c r="E149" s="23">
        <v>204.0</v>
      </c>
      <c r="O149" s="110"/>
    </row>
    <row r="150">
      <c r="A150" s="20">
        <v>68626.0</v>
      </c>
      <c r="B150" s="110">
        <v>43925.0</v>
      </c>
      <c r="C150" s="20" t="s">
        <v>237</v>
      </c>
      <c r="D150" s="20" t="s">
        <v>245</v>
      </c>
      <c r="E150" s="23">
        <v>157.0</v>
      </c>
      <c r="O150" s="110"/>
    </row>
    <row r="151">
      <c r="A151" s="20">
        <v>68870.0</v>
      </c>
      <c r="B151" s="110">
        <v>43925.0</v>
      </c>
      <c r="C151" s="20" t="s">
        <v>229</v>
      </c>
      <c r="D151" s="20" t="s">
        <v>256</v>
      </c>
      <c r="E151" s="23">
        <v>398.0</v>
      </c>
      <c r="O151" s="110"/>
    </row>
    <row r="152">
      <c r="A152" s="20">
        <v>68135.0</v>
      </c>
      <c r="B152" s="110">
        <v>43925.0</v>
      </c>
      <c r="C152" s="20" t="s">
        <v>229</v>
      </c>
      <c r="D152" s="20" t="s">
        <v>250</v>
      </c>
      <c r="E152" s="23">
        <v>290.0</v>
      </c>
      <c r="O152" s="110"/>
    </row>
    <row r="153">
      <c r="A153" s="20">
        <v>68488.0</v>
      </c>
      <c r="B153" s="110">
        <v>43932.0</v>
      </c>
      <c r="C153" s="20" t="s">
        <v>229</v>
      </c>
      <c r="D153" s="20" t="s">
        <v>249</v>
      </c>
      <c r="E153" s="23">
        <v>358.0</v>
      </c>
      <c r="O153" s="110"/>
    </row>
    <row r="154">
      <c r="A154" s="20">
        <v>68089.0</v>
      </c>
      <c r="B154" s="110">
        <v>43932.0</v>
      </c>
      <c r="C154" s="20" t="s">
        <v>229</v>
      </c>
      <c r="D154" s="20" t="s">
        <v>250</v>
      </c>
      <c r="E154" s="23">
        <v>419.0</v>
      </c>
      <c r="O154" s="110"/>
    </row>
    <row r="155">
      <c r="A155" s="20">
        <v>68893.0</v>
      </c>
      <c r="B155" s="110">
        <v>43932.0</v>
      </c>
      <c r="C155" s="20" t="s">
        <v>237</v>
      </c>
      <c r="D155" s="20" t="s">
        <v>238</v>
      </c>
      <c r="E155" s="23">
        <v>338.0</v>
      </c>
      <c r="O155" s="110"/>
    </row>
    <row r="156">
      <c r="A156" s="20">
        <v>68303.0</v>
      </c>
      <c r="B156" s="110">
        <v>43932.0</v>
      </c>
      <c r="C156" s="20" t="s">
        <v>237</v>
      </c>
      <c r="D156" s="20" t="s">
        <v>251</v>
      </c>
      <c r="E156" s="23">
        <v>212.0</v>
      </c>
      <c r="O156" s="110"/>
    </row>
    <row r="157">
      <c r="A157" s="20">
        <v>68568.0</v>
      </c>
      <c r="B157" s="110">
        <v>43932.0</v>
      </c>
      <c r="C157" s="20" t="s">
        <v>237</v>
      </c>
      <c r="D157" s="20" t="s">
        <v>242</v>
      </c>
      <c r="E157" s="23">
        <v>208.0</v>
      </c>
      <c r="O157" s="110"/>
    </row>
    <row r="158">
      <c r="A158" s="20">
        <v>68911.0</v>
      </c>
      <c r="B158" s="110">
        <v>43932.0</v>
      </c>
      <c r="C158" s="20" t="s">
        <v>229</v>
      </c>
      <c r="D158" s="20" t="s">
        <v>252</v>
      </c>
      <c r="E158" s="23">
        <v>445.0</v>
      </c>
      <c r="O158" s="110"/>
    </row>
    <row r="159">
      <c r="A159" s="20">
        <v>68808.0</v>
      </c>
      <c r="B159" s="110">
        <v>43932.0</v>
      </c>
      <c r="C159" s="20" t="s">
        <v>229</v>
      </c>
      <c r="D159" s="20" t="s">
        <v>230</v>
      </c>
      <c r="E159" s="23">
        <v>309.0</v>
      </c>
      <c r="O159" s="110"/>
    </row>
    <row r="160">
      <c r="A160" s="20">
        <v>68455.0</v>
      </c>
      <c r="B160" s="110">
        <v>43934.0</v>
      </c>
      <c r="C160" s="20" t="s">
        <v>229</v>
      </c>
      <c r="D160" s="20" t="s">
        <v>240</v>
      </c>
      <c r="E160" s="23">
        <v>383.0</v>
      </c>
      <c r="O160" s="110"/>
    </row>
    <row r="161">
      <c r="A161" s="20">
        <v>68580.0</v>
      </c>
      <c r="B161" s="110">
        <v>43934.0</v>
      </c>
      <c r="C161" s="20" t="s">
        <v>229</v>
      </c>
      <c r="D161" s="20" t="s">
        <v>248</v>
      </c>
      <c r="E161" s="23">
        <v>424.0</v>
      </c>
      <c r="O161" s="110"/>
    </row>
    <row r="162">
      <c r="A162" s="20">
        <v>68593.0</v>
      </c>
      <c r="B162" s="110">
        <v>43935.0</v>
      </c>
      <c r="C162" s="20" t="s">
        <v>237</v>
      </c>
      <c r="D162" s="20" t="s">
        <v>246</v>
      </c>
      <c r="E162" s="23">
        <v>292.0</v>
      </c>
      <c r="O162" s="110"/>
    </row>
    <row r="163">
      <c r="A163" s="20">
        <v>68766.0</v>
      </c>
      <c r="B163" s="110">
        <v>43935.0</v>
      </c>
      <c r="C163" s="20" t="s">
        <v>237</v>
      </c>
      <c r="D163" s="20" t="s">
        <v>248</v>
      </c>
      <c r="E163" s="23">
        <v>379.0</v>
      </c>
      <c r="O163" s="110"/>
    </row>
    <row r="164">
      <c r="A164" s="20">
        <v>68886.0</v>
      </c>
      <c r="B164" s="110">
        <v>43935.0</v>
      </c>
      <c r="C164" s="20" t="s">
        <v>229</v>
      </c>
      <c r="D164" s="20" t="s">
        <v>242</v>
      </c>
      <c r="E164" s="23">
        <v>223.0</v>
      </c>
      <c r="O164" s="110"/>
    </row>
    <row r="165">
      <c r="A165" s="20">
        <v>68307.0</v>
      </c>
      <c r="B165" s="110">
        <v>43935.0</v>
      </c>
      <c r="C165" s="20" t="s">
        <v>229</v>
      </c>
      <c r="D165" s="20" t="s">
        <v>244</v>
      </c>
      <c r="E165" s="23">
        <v>354.0</v>
      </c>
      <c r="O165" s="110"/>
    </row>
    <row r="166">
      <c r="A166" s="20">
        <v>68295.0</v>
      </c>
      <c r="B166" s="110">
        <v>43935.0</v>
      </c>
      <c r="C166" s="20" t="s">
        <v>229</v>
      </c>
      <c r="D166" s="20" t="s">
        <v>255</v>
      </c>
      <c r="E166" s="23">
        <v>432.0</v>
      </c>
      <c r="O166" s="110"/>
    </row>
    <row r="167">
      <c r="A167" s="20">
        <v>68042.0</v>
      </c>
      <c r="B167" s="110">
        <v>43935.0</v>
      </c>
      <c r="C167" s="20" t="s">
        <v>237</v>
      </c>
      <c r="D167" s="20" t="s">
        <v>249</v>
      </c>
      <c r="E167" s="23">
        <v>185.0</v>
      </c>
      <c r="O167" s="110"/>
    </row>
    <row r="168">
      <c r="A168" s="20">
        <v>68043.0</v>
      </c>
      <c r="B168" s="110">
        <v>43935.0</v>
      </c>
      <c r="C168" s="20" t="s">
        <v>237</v>
      </c>
      <c r="D168" s="20" t="s">
        <v>251</v>
      </c>
      <c r="E168" s="23">
        <v>334.0</v>
      </c>
      <c r="O168" s="110"/>
    </row>
    <row r="169">
      <c r="A169" s="20">
        <v>68076.0</v>
      </c>
      <c r="B169" s="110">
        <v>43935.0</v>
      </c>
      <c r="C169" s="20" t="s">
        <v>237</v>
      </c>
      <c r="D169" s="20" t="s">
        <v>246</v>
      </c>
      <c r="E169" s="23">
        <v>257.0</v>
      </c>
      <c r="O169" s="110"/>
    </row>
    <row r="170">
      <c r="A170" s="20">
        <v>68952.0</v>
      </c>
      <c r="B170" s="110">
        <v>43935.0</v>
      </c>
      <c r="C170" s="20" t="s">
        <v>237</v>
      </c>
      <c r="D170" s="20" t="s">
        <v>230</v>
      </c>
      <c r="E170" s="23">
        <v>277.0</v>
      </c>
      <c r="O170" s="110"/>
    </row>
    <row r="171">
      <c r="A171" s="20">
        <v>68481.0</v>
      </c>
      <c r="B171" s="110">
        <v>43935.0</v>
      </c>
      <c r="C171" s="20" t="s">
        <v>237</v>
      </c>
      <c r="D171" s="20" t="s">
        <v>240</v>
      </c>
      <c r="E171" s="23">
        <v>199.0</v>
      </c>
      <c r="O171" s="110"/>
    </row>
    <row r="172">
      <c r="A172" s="20">
        <v>68718.0</v>
      </c>
      <c r="B172" s="110">
        <v>43935.0</v>
      </c>
      <c r="C172" s="20" t="s">
        <v>229</v>
      </c>
      <c r="D172" s="20" t="s">
        <v>256</v>
      </c>
      <c r="E172" s="23">
        <v>358.0</v>
      </c>
      <c r="O172" s="110"/>
    </row>
    <row r="173">
      <c r="A173" s="20">
        <v>68750.0</v>
      </c>
      <c r="B173" s="110">
        <v>43935.0</v>
      </c>
      <c r="C173" s="20" t="s">
        <v>229</v>
      </c>
      <c r="D173" s="20" t="s">
        <v>240</v>
      </c>
      <c r="E173" s="23">
        <v>270.0</v>
      </c>
      <c r="O173" s="110"/>
    </row>
    <row r="174">
      <c r="A174" s="20">
        <v>68390.0</v>
      </c>
      <c r="B174" s="110">
        <v>43935.0</v>
      </c>
      <c r="C174" s="20" t="s">
        <v>237</v>
      </c>
      <c r="D174" s="20" t="s">
        <v>230</v>
      </c>
      <c r="E174" s="23">
        <v>350.0</v>
      </c>
      <c r="O174" s="110"/>
    </row>
    <row r="175">
      <c r="A175" s="20">
        <v>68450.0</v>
      </c>
      <c r="B175" s="110">
        <v>43935.0</v>
      </c>
      <c r="C175" s="20" t="s">
        <v>237</v>
      </c>
      <c r="D175" s="20" t="s">
        <v>249</v>
      </c>
      <c r="E175" s="23">
        <v>350.0</v>
      </c>
      <c r="O175" s="110"/>
    </row>
    <row r="176">
      <c r="A176" s="20">
        <v>68459.0</v>
      </c>
      <c r="B176" s="110">
        <v>43935.0</v>
      </c>
      <c r="C176" s="20" t="s">
        <v>237</v>
      </c>
      <c r="D176" s="20" t="s">
        <v>236</v>
      </c>
      <c r="E176" s="23">
        <v>203.0</v>
      </c>
      <c r="O176" s="110"/>
    </row>
    <row r="177">
      <c r="A177" s="20">
        <v>68929.0</v>
      </c>
      <c r="B177" s="110">
        <v>43935.0</v>
      </c>
      <c r="C177" s="20" t="s">
        <v>229</v>
      </c>
      <c r="D177" s="20" t="s">
        <v>256</v>
      </c>
      <c r="E177" s="23">
        <v>281.0</v>
      </c>
      <c r="O177" s="110"/>
    </row>
    <row r="178">
      <c r="A178" s="20">
        <v>68026.0</v>
      </c>
      <c r="B178" s="110">
        <v>43935.0</v>
      </c>
      <c r="C178" s="20" t="s">
        <v>229</v>
      </c>
      <c r="D178" s="20" t="s">
        <v>253</v>
      </c>
      <c r="E178" s="23">
        <v>446.0</v>
      </c>
      <c r="O178" s="110"/>
    </row>
    <row r="179">
      <c r="A179" s="20">
        <v>68771.0</v>
      </c>
      <c r="B179" s="110">
        <v>43942.0</v>
      </c>
      <c r="C179" s="20" t="s">
        <v>237</v>
      </c>
      <c r="D179" s="20" t="s">
        <v>249</v>
      </c>
      <c r="E179" s="23">
        <v>389.0</v>
      </c>
      <c r="O179" s="110"/>
    </row>
    <row r="180">
      <c r="A180" s="20">
        <v>68078.0</v>
      </c>
      <c r="B180" s="110">
        <v>43942.0</v>
      </c>
      <c r="C180" s="20" t="s">
        <v>237</v>
      </c>
      <c r="D180" s="20" t="s">
        <v>240</v>
      </c>
      <c r="E180" s="23">
        <v>240.0</v>
      </c>
      <c r="O180" s="110"/>
    </row>
    <row r="181">
      <c r="A181" s="20">
        <v>68121.0</v>
      </c>
      <c r="B181" s="110">
        <v>43942.0</v>
      </c>
      <c r="C181" s="20" t="s">
        <v>229</v>
      </c>
      <c r="D181" s="20" t="s">
        <v>256</v>
      </c>
      <c r="E181" s="23">
        <v>425.0</v>
      </c>
      <c r="O181" s="110"/>
    </row>
    <row r="182">
      <c r="A182" s="20">
        <v>68689.0</v>
      </c>
      <c r="B182" s="110">
        <v>43942.0</v>
      </c>
      <c r="C182" s="20" t="s">
        <v>229</v>
      </c>
      <c r="D182" s="20" t="s">
        <v>230</v>
      </c>
      <c r="E182" s="23">
        <v>387.0</v>
      </c>
      <c r="O182" s="110"/>
    </row>
    <row r="183">
      <c r="A183" s="20">
        <v>68623.0</v>
      </c>
      <c r="B183" s="110">
        <v>43942.0</v>
      </c>
      <c r="C183" s="20" t="s">
        <v>229</v>
      </c>
      <c r="D183" s="20" t="s">
        <v>239</v>
      </c>
      <c r="E183" s="23">
        <v>380.0</v>
      </c>
      <c r="O183" s="110"/>
    </row>
    <row r="184">
      <c r="A184" s="20">
        <v>68037.0</v>
      </c>
      <c r="B184" s="110">
        <v>43942.0</v>
      </c>
      <c r="C184" s="20" t="s">
        <v>237</v>
      </c>
      <c r="D184" s="20" t="s">
        <v>233</v>
      </c>
      <c r="E184" s="23">
        <v>301.0</v>
      </c>
      <c r="O184" s="110"/>
    </row>
    <row r="185">
      <c r="A185" s="20">
        <v>68078.0</v>
      </c>
      <c r="B185" s="110">
        <v>43942.0</v>
      </c>
      <c r="C185" s="20" t="s">
        <v>237</v>
      </c>
      <c r="D185" s="20" t="s">
        <v>242</v>
      </c>
      <c r="E185" s="23">
        <v>240.0</v>
      </c>
      <c r="O185" s="110"/>
    </row>
    <row r="186">
      <c r="A186" s="20">
        <v>68609.0</v>
      </c>
      <c r="B186" s="110">
        <v>43945.0</v>
      </c>
      <c r="C186" s="20" t="s">
        <v>229</v>
      </c>
      <c r="D186" s="20" t="s">
        <v>252</v>
      </c>
      <c r="E186" s="23">
        <v>345.0</v>
      </c>
      <c r="O186" s="110"/>
    </row>
    <row r="187">
      <c r="A187" s="20">
        <v>68915.0</v>
      </c>
      <c r="B187" s="110">
        <v>43945.0</v>
      </c>
      <c r="C187" s="20" t="s">
        <v>229</v>
      </c>
      <c r="D187" s="20" t="s">
        <v>233</v>
      </c>
      <c r="E187" s="23">
        <v>180.0</v>
      </c>
      <c r="O187" s="110"/>
    </row>
    <row r="188">
      <c r="A188" s="20">
        <v>68776.0</v>
      </c>
      <c r="B188" s="110">
        <v>43945.0</v>
      </c>
      <c r="C188" s="20" t="s">
        <v>229</v>
      </c>
      <c r="D188" s="20" t="s">
        <v>249</v>
      </c>
      <c r="E188" s="23">
        <v>381.0</v>
      </c>
      <c r="O188" s="110"/>
    </row>
    <row r="189">
      <c r="A189" s="20">
        <v>68915.0</v>
      </c>
      <c r="B189" s="110">
        <v>43950.0</v>
      </c>
      <c r="C189" s="20" t="s">
        <v>237</v>
      </c>
      <c r="D189" s="20" t="s">
        <v>250</v>
      </c>
      <c r="E189" s="23">
        <v>180.0</v>
      </c>
      <c r="O189" s="110"/>
    </row>
    <row r="190">
      <c r="A190" s="20">
        <v>67597.0</v>
      </c>
      <c r="B190" s="110">
        <v>43955.0</v>
      </c>
      <c r="C190" s="20" t="s">
        <v>229</v>
      </c>
      <c r="D190" s="20" t="s">
        <v>240</v>
      </c>
      <c r="E190" s="23">
        <v>450.0</v>
      </c>
      <c r="O190" s="110"/>
    </row>
    <row r="191">
      <c r="A191" s="20">
        <v>67968.0</v>
      </c>
      <c r="B191" s="110">
        <v>43955.0</v>
      </c>
      <c r="C191" s="20" t="s">
        <v>229</v>
      </c>
      <c r="D191" s="20" t="s">
        <v>233</v>
      </c>
      <c r="E191" s="23">
        <v>298.0</v>
      </c>
      <c r="O191" s="110"/>
    </row>
    <row r="192">
      <c r="A192" s="20">
        <v>67001.0</v>
      </c>
      <c r="B192" s="110">
        <v>43956.0</v>
      </c>
      <c r="C192" s="20" t="s">
        <v>229</v>
      </c>
      <c r="D192" s="20" t="s">
        <v>251</v>
      </c>
      <c r="E192" s="23">
        <v>332.0</v>
      </c>
      <c r="O192" s="110"/>
    </row>
    <row r="193">
      <c r="A193" s="20">
        <v>67151.0</v>
      </c>
      <c r="B193" s="110">
        <v>43956.0</v>
      </c>
      <c r="C193" s="20" t="s">
        <v>229</v>
      </c>
      <c r="D193" s="20" t="s">
        <v>250</v>
      </c>
      <c r="E193" s="23">
        <v>216.0</v>
      </c>
      <c r="O193" s="110"/>
    </row>
    <row r="194">
      <c r="A194" s="20">
        <v>67862.0</v>
      </c>
      <c r="B194" s="110">
        <v>43956.0</v>
      </c>
      <c r="C194" s="20" t="s">
        <v>237</v>
      </c>
      <c r="D194" s="20" t="s">
        <v>244</v>
      </c>
      <c r="E194" s="23">
        <v>420.0</v>
      </c>
      <c r="O194" s="110"/>
    </row>
    <row r="195">
      <c r="A195" s="20">
        <v>67899.0</v>
      </c>
      <c r="B195" s="110">
        <v>43956.0</v>
      </c>
      <c r="C195" s="20" t="s">
        <v>237</v>
      </c>
      <c r="D195" s="20" t="s">
        <v>254</v>
      </c>
      <c r="E195" s="23">
        <v>404.0</v>
      </c>
      <c r="O195" s="110"/>
    </row>
    <row r="196">
      <c r="A196" s="20">
        <v>67025.0</v>
      </c>
      <c r="B196" s="110">
        <v>43956.0</v>
      </c>
      <c r="C196" s="20" t="s">
        <v>237</v>
      </c>
      <c r="D196" s="20" t="s">
        <v>252</v>
      </c>
      <c r="E196" s="23">
        <v>201.0</v>
      </c>
      <c r="O196" s="110"/>
    </row>
    <row r="197">
      <c r="A197" s="20">
        <v>67206.0</v>
      </c>
      <c r="B197" s="110">
        <v>43956.0</v>
      </c>
      <c r="C197" s="20" t="s">
        <v>229</v>
      </c>
      <c r="D197" s="20" t="s">
        <v>255</v>
      </c>
      <c r="E197" s="23">
        <v>338.0</v>
      </c>
      <c r="O197" s="110"/>
    </row>
    <row r="198">
      <c r="A198" s="20">
        <v>67029.0</v>
      </c>
      <c r="B198" s="110">
        <v>43956.0</v>
      </c>
      <c r="C198" s="20" t="s">
        <v>229</v>
      </c>
      <c r="D198" s="20" t="s">
        <v>256</v>
      </c>
      <c r="E198" s="23">
        <v>331.0</v>
      </c>
      <c r="O198" s="110"/>
    </row>
    <row r="199">
      <c r="A199" s="20">
        <v>67815.0</v>
      </c>
      <c r="B199" s="110">
        <v>43962.0</v>
      </c>
      <c r="C199" s="20" t="s">
        <v>229</v>
      </c>
      <c r="D199" s="20" t="s">
        <v>233</v>
      </c>
      <c r="E199" s="23">
        <v>415.0</v>
      </c>
      <c r="O199" s="110"/>
    </row>
    <row r="200">
      <c r="A200" s="20">
        <v>67509.0</v>
      </c>
      <c r="B200" s="110">
        <v>43962.0</v>
      </c>
      <c r="C200" s="20" t="s">
        <v>229</v>
      </c>
      <c r="D200" s="20" t="s">
        <v>253</v>
      </c>
      <c r="E200" s="23">
        <v>244.0</v>
      </c>
      <c r="O200" s="110"/>
    </row>
    <row r="201">
      <c r="A201" s="20">
        <v>67903.0</v>
      </c>
      <c r="B201" s="110">
        <v>43962.0</v>
      </c>
      <c r="C201" s="20" t="s">
        <v>237</v>
      </c>
      <c r="D201" s="20" t="s">
        <v>236</v>
      </c>
      <c r="E201" s="23">
        <v>279.0</v>
      </c>
      <c r="O201" s="110"/>
    </row>
    <row r="202">
      <c r="A202" s="20">
        <v>67298.0</v>
      </c>
      <c r="B202" s="110">
        <v>43962.0</v>
      </c>
      <c r="C202" s="20" t="s">
        <v>237</v>
      </c>
      <c r="D202" s="20" t="s">
        <v>255</v>
      </c>
      <c r="E202" s="23">
        <v>221.0</v>
      </c>
      <c r="O202" s="110"/>
    </row>
    <row r="203">
      <c r="A203" s="20">
        <v>67028.0</v>
      </c>
      <c r="B203" s="110">
        <v>43962.0</v>
      </c>
      <c r="C203" s="20" t="s">
        <v>237</v>
      </c>
      <c r="D203" s="20" t="s">
        <v>250</v>
      </c>
      <c r="E203" s="23">
        <v>448.0</v>
      </c>
      <c r="O203" s="110"/>
    </row>
    <row r="204">
      <c r="A204" s="20">
        <v>67298.0</v>
      </c>
      <c r="B204" s="110">
        <v>43962.0</v>
      </c>
      <c r="C204" s="20" t="s">
        <v>229</v>
      </c>
      <c r="D204" s="20" t="s">
        <v>244</v>
      </c>
      <c r="E204" s="23">
        <v>221.0</v>
      </c>
      <c r="O204" s="110"/>
    </row>
    <row r="205">
      <c r="A205" s="20">
        <v>67303.0</v>
      </c>
      <c r="B205" s="110">
        <v>43962.0</v>
      </c>
      <c r="C205" s="20" t="s">
        <v>229</v>
      </c>
      <c r="D205" s="20" t="s">
        <v>230</v>
      </c>
      <c r="E205" s="23">
        <v>275.0</v>
      </c>
      <c r="O205" s="110"/>
    </row>
    <row r="206">
      <c r="A206" s="20">
        <v>67231.0</v>
      </c>
      <c r="B206" s="110">
        <v>43964.0</v>
      </c>
      <c r="C206" s="20" t="s">
        <v>229</v>
      </c>
      <c r="D206" s="20" t="s">
        <v>255</v>
      </c>
      <c r="E206" s="23">
        <v>396.0</v>
      </c>
      <c r="O206" s="110"/>
    </row>
    <row r="207">
      <c r="A207" s="20">
        <v>67780.0</v>
      </c>
      <c r="B207" s="110">
        <v>43964.0</v>
      </c>
      <c r="C207" s="20" t="s">
        <v>229</v>
      </c>
      <c r="D207" s="20" t="s">
        <v>256</v>
      </c>
      <c r="E207" s="23">
        <v>358.0</v>
      </c>
      <c r="O207" s="110"/>
    </row>
    <row r="208">
      <c r="A208" s="20">
        <v>67483.0</v>
      </c>
      <c r="B208" s="110">
        <v>43965.0</v>
      </c>
      <c r="C208" s="20" t="s">
        <v>237</v>
      </c>
      <c r="D208" s="20" t="s">
        <v>247</v>
      </c>
      <c r="E208" s="23">
        <v>180.0</v>
      </c>
      <c r="O208" s="110"/>
    </row>
    <row r="209">
      <c r="A209" s="20">
        <v>67003.0</v>
      </c>
      <c r="B209" s="110">
        <v>43965.0</v>
      </c>
      <c r="C209" s="20" t="s">
        <v>237</v>
      </c>
      <c r="D209" s="20" t="s">
        <v>230</v>
      </c>
      <c r="E209" s="23">
        <v>343.0</v>
      </c>
      <c r="O209" s="110"/>
    </row>
    <row r="210">
      <c r="A210" s="20">
        <v>67279.0</v>
      </c>
      <c r="B210" s="110">
        <v>43965.0</v>
      </c>
      <c r="C210" s="20" t="s">
        <v>237</v>
      </c>
      <c r="D210" s="20" t="s">
        <v>236</v>
      </c>
      <c r="E210" s="23">
        <v>381.0</v>
      </c>
      <c r="O210" s="110"/>
    </row>
    <row r="211">
      <c r="A211" s="20">
        <v>67500.0</v>
      </c>
      <c r="B211" s="110">
        <v>43966.0</v>
      </c>
      <c r="C211" s="20" t="s">
        <v>237</v>
      </c>
      <c r="D211" s="20" t="s">
        <v>256</v>
      </c>
      <c r="E211" s="23">
        <v>363.0</v>
      </c>
      <c r="O211" s="110"/>
    </row>
    <row r="212">
      <c r="A212" s="20">
        <v>67203.0</v>
      </c>
      <c r="B212" s="110">
        <v>43966.0</v>
      </c>
      <c r="C212" s="20" t="s">
        <v>237</v>
      </c>
      <c r="D212" s="20" t="s">
        <v>253</v>
      </c>
      <c r="E212" s="23">
        <v>370.0</v>
      </c>
      <c r="O212" s="110"/>
    </row>
    <row r="213">
      <c r="A213" s="20">
        <v>67949.0</v>
      </c>
      <c r="B213" s="110">
        <v>43966.0</v>
      </c>
      <c r="C213" s="20" t="s">
        <v>229</v>
      </c>
      <c r="D213" s="20" t="s">
        <v>244</v>
      </c>
      <c r="E213" s="23">
        <v>437.0</v>
      </c>
      <c r="O213" s="110"/>
    </row>
    <row r="214">
      <c r="A214" s="20">
        <v>67296.0</v>
      </c>
      <c r="B214" s="110">
        <v>43966.0</v>
      </c>
      <c r="C214" s="20" t="s">
        <v>229</v>
      </c>
      <c r="D214" s="20" t="s">
        <v>240</v>
      </c>
      <c r="E214" s="23">
        <v>227.0</v>
      </c>
      <c r="O214" s="110"/>
    </row>
    <row r="215">
      <c r="A215" s="20">
        <v>67013.0</v>
      </c>
      <c r="B215" s="110">
        <v>43966.0</v>
      </c>
      <c r="C215" s="20" t="s">
        <v>229</v>
      </c>
      <c r="D215" s="20" t="s">
        <v>246</v>
      </c>
      <c r="E215" s="23">
        <v>245.0</v>
      </c>
      <c r="O215" s="110"/>
    </row>
    <row r="216">
      <c r="A216" s="20">
        <v>67927.0</v>
      </c>
      <c r="B216" s="110">
        <v>43966.0</v>
      </c>
      <c r="C216" s="20" t="s">
        <v>237</v>
      </c>
      <c r="D216" s="20" t="s">
        <v>240</v>
      </c>
      <c r="E216" s="23">
        <v>201.0</v>
      </c>
      <c r="O216" s="110"/>
    </row>
    <row r="217">
      <c r="A217" s="20">
        <v>67143.0</v>
      </c>
      <c r="B217" s="110">
        <v>43966.0</v>
      </c>
      <c r="C217" s="20" t="s">
        <v>237</v>
      </c>
      <c r="D217" s="20" t="s">
        <v>245</v>
      </c>
      <c r="E217" s="23">
        <v>210.0</v>
      </c>
      <c r="O217" s="110"/>
    </row>
    <row r="218">
      <c r="A218" s="20">
        <v>67926.0</v>
      </c>
      <c r="B218" s="110">
        <v>43966.0</v>
      </c>
      <c r="C218" s="20" t="s">
        <v>229</v>
      </c>
      <c r="D218" s="20" t="s">
        <v>242</v>
      </c>
      <c r="E218" s="23">
        <v>406.0</v>
      </c>
      <c r="O218" s="110"/>
    </row>
    <row r="219">
      <c r="A219" s="20">
        <v>67804.0</v>
      </c>
      <c r="B219" s="110">
        <v>43966.0</v>
      </c>
      <c r="C219" s="20" t="s">
        <v>229</v>
      </c>
      <c r="D219" s="20" t="s">
        <v>254</v>
      </c>
      <c r="E219" s="23">
        <v>242.0</v>
      </c>
      <c r="O219" s="110"/>
    </row>
    <row r="220">
      <c r="A220" s="20">
        <v>67725.0</v>
      </c>
      <c r="B220" s="110">
        <v>43966.0</v>
      </c>
      <c r="C220" s="20" t="s">
        <v>237</v>
      </c>
      <c r="D220" s="20" t="s">
        <v>244</v>
      </c>
      <c r="E220" s="23">
        <v>430.0</v>
      </c>
      <c r="O220" s="110"/>
    </row>
    <row r="221">
      <c r="A221" s="20">
        <v>67320.0</v>
      </c>
      <c r="B221" s="110">
        <v>43966.0</v>
      </c>
      <c r="C221" s="20" t="s">
        <v>237</v>
      </c>
      <c r="D221" s="20" t="s">
        <v>254</v>
      </c>
      <c r="E221" s="23">
        <v>193.0</v>
      </c>
      <c r="O221" s="110"/>
    </row>
    <row r="222">
      <c r="A222" s="20">
        <v>67317.0</v>
      </c>
      <c r="B222" s="110">
        <v>43966.0</v>
      </c>
      <c r="C222" s="20" t="s">
        <v>237</v>
      </c>
      <c r="D222" s="20" t="s">
        <v>239</v>
      </c>
      <c r="E222" s="23">
        <v>345.0</v>
      </c>
      <c r="O222" s="110"/>
    </row>
    <row r="223">
      <c r="A223" s="20">
        <v>67401.0</v>
      </c>
      <c r="B223" s="110">
        <v>43966.0</v>
      </c>
      <c r="C223" s="20" t="s">
        <v>229</v>
      </c>
      <c r="D223" s="20" t="s">
        <v>244</v>
      </c>
      <c r="E223" s="23">
        <v>329.0</v>
      </c>
      <c r="O223" s="110"/>
    </row>
    <row r="224">
      <c r="A224" s="20">
        <v>67087.0</v>
      </c>
      <c r="B224" s="110">
        <v>43966.0</v>
      </c>
      <c r="C224" s="20" t="s">
        <v>229</v>
      </c>
      <c r="D224" s="20" t="s">
        <v>256</v>
      </c>
      <c r="E224" s="23">
        <v>222.0</v>
      </c>
      <c r="O224" s="110"/>
    </row>
    <row r="225">
      <c r="A225" s="20">
        <v>67695.0</v>
      </c>
      <c r="B225" s="110">
        <v>43972.0</v>
      </c>
      <c r="C225" s="20" t="s">
        <v>237</v>
      </c>
      <c r="D225" s="20" t="s">
        <v>253</v>
      </c>
      <c r="E225" s="23">
        <v>379.0</v>
      </c>
      <c r="O225" s="110"/>
    </row>
    <row r="226">
      <c r="A226" s="20">
        <v>67872.0</v>
      </c>
      <c r="B226" s="110">
        <v>43972.0</v>
      </c>
      <c r="C226" s="20" t="s">
        <v>237</v>
      </c>
      <c r="D226" s="20" t="s">
        <v>240</v>
      </c>
      <c r="E226" s="23">
        <v>448.0</v>
      </c>
      <c r="O226" s="110"/>
    </row>
    <row r="227">
      <c r="A227" s="20">
        <v>67343.0</v>
      </c>
      <c r="B227" s="110">
        <v>43972.0</v>
      </c>
      <c r="C227" s="20" t="s">
        <v>229</v>
      </c>
      <c r="D227" s="20" t="s">
        <v>253</v>
      </c>
      <c r="E227" s="23">
        <v>407.0</v>
      </c>
      <c r="O227" s="110"/>
    </row>
    <row r="228">
      <c r="A228" s="20">
        <v>67799.0</v>
      </c>
      <c r="B228" s="110">
        <v>43972.0</v>
      </c>
      <c r="C228" s="20" t="s">
        <v>229</v>
      </c>
      <c r="D228" s="20" t="s">
        <v>255</v>
      </c>
      <c r="E228" s="23">
        <v>263.0</v>
      </c>
      <c r="O228" s="110"/>
    </row>
    <row r="229">
      <c r="A229" s="20">
        <v>67188.0</v>
      </c>
      <c r="B229" s="110">
        <v>43972.0</v>
      </c>
      <c r="C229" s="20" t="s">
        <v>229</v>
      </c>
      <c r="D229" s="20" t="s">
        <v>244</v>
      </c>
      <c r="E229" s="23">
        <v>190.0</v>
      </c>
      <c r="O229" s="110"/>
    </row>
    <row r="230">
      <c r="A230" s="20">
        <v>67163.0</v>
      </c>
      <c r="B230" s="110">
        <v>43972.0</v>
      </c>
      <c r="C230" s="20" t="s">
        <v>237</v>
      </c>
      <c r="D230" s="20" t="s">
        <v>230</v>
      </c>
      <c r="E230" s="23">
        <v>214.0</v>
      </c>
      <c r="O230" s="110"/>
    </row>
    <row r="231">
      <c r="A231" s="20">
        <v>67916.0</v>
      </c>
      <c r="B231" s="110">
        <v>43972.0</v>
      </c>
      <c r="C231" s="20" t="s">
        <v>237</v>
      </c>
      <c r="D231" s="20" t="s">
        <v>250</v>
      </c>
      <c r="E231" s="23">
        <v>298.0</v>
      </c>
      <c r="O231" s="110"/>
    </row>
    <row r="232">
      <c r="A232" s="20">
        <v>67404.0</v>
      </c>
      <c r="B232" s="110">
        <v>43976.0</v>
      </c>
      <c r="C232" s="20" t="s">
        <v>229</v>
      </c>
      <c r="D232" s="20" t="s">
        <v>239</v>
      </c>
      <c r="E232" s="23">
        <v>237.0</v>
      </c>
      <c r="O232" s="110"/>
    </row>
    <row r="233">
      <c r="A233" s="20">
        <v>67273.0</v>
      </c>
      <c r="B233" s="110">
        <v>43976.0</v>
      </c>
      <c r="C233" s="20" t="s">
        <v>229</v>
      </c>
      <c r="D233" s="20" t="s">
        <v>242</v>
      </c>
      <c r="E233" s="23">
        <v>434.0</v>
      </c>
      <c r="O233" s="110"/>
    </row>
    <row r="234">
      <c r="A234" s="20">
        <v>67444.0</v>
      </c>
      <c r="B234" s="110">
        <v>43976.0</v>
      </c>
      <c r="C234" s="20" t="s">
        <v>229</v>
      </c>
      <c r="D234" s="20" t="s">
        <v>242</v>
      </c>
      <c r="E234" s="23">
        <v>371.0</v>
      </c>
      <c r="O234" s="110"/>
    </row>
    <row r="235">
      <c r="A235" s="20">
        <v>67174.0</v>
      </c>
      <c r="B235" s="110">
        <v>43980.0</v>
      </c>
      <c r="C235" s="20" t="s">
        <v>237</v>
      </c>
      <c r="D235" s="20" t="s">
        <v>236</v>
      </c>
      <c r="E235" s="23">
        <v>429.0</v>
      </c>
      <c r="O235" s="110"/>
    </row>
    <row r="236">
      <c r="A236" s="20">
        <v>66958.0</v>
      </c>
      <c r="B236" s="110">
        <v>43986.0</v>
      </c>
      <c r="C236" s="20" t="s">
        <v>229</v>
      </c>
      <c r="D236" s="20" t="s">
        <v>247</v>
      </c>
      <c r="E236" s="23">
        <v>383.0</v>
      </c>
      <c r="O236" s="110"/>
    </row>
    <row r="237">
      <c r="A237" s="20">
        <v>66909.0</v>
      </c>
      <c r="B237" s="110">
        <v>43986.0</v>
      </c>
      <c r="C237" s="20" t="s">
        <v>229</v>
      </c>
      <c r="D237" s="20" t="s">
        <v>239</v>
      </c>
      <c r="E237" s="23">
        <v>294.0</v>
      </c>
      <c r="O237" s="110"/>
    </row>
    <row r="238">
      <c r="A238" s="20">
        <v>66962.0</v>
      </c>
      <c r="B238" s="110">
        <v>43988.0</v>
      </c>
      <c r="C238" s="20" t="s">
        <v>229</v>
      </c>
      <c r="D238" s="20" t="s">
        <v>251</v>
      </c>
      <c r="E238" s="23">
        <v>250.0</v>
      </c>
      <c r="O238" s="110"/>
    </row>
    <row r="239">
      <c r="A239" s="20">
        <v>66984.0</v>
      </c>
      <c r="B239" s="110">
        <v>43988.0</v>
      </c>
      <c r="C239" s="20" t="s">
        <v>229</v>
      </c>
      <c r="D239" s="20" t="s">
        <v>239</v>
      </c>
      <c r="E239" s="23">
        <v>264.0</v>
      </c>
      <c r="O239" s="110"/>
    </row>
    <row r="240">
      <c r="A240" s="20">
        <v>66962.0</v>
      </c>
      <c r="B240" s="110">
        <v>43988.0</v>
      </c>
      <c r="C240" s="20" t="s">
        <v>237</v>
      </c>
      <c r="D240" s="20" t="s">
        <v>236</v>
      </c>
      <c r="E240" s="23">
        <v>250.0</v>
      </c>
      <c r="O240" s="110"/>
    </row>
    <row r="241">
      <c r="A241" s="20">
        <v>66970.0</v>
      </c>
      <c r="B241" s="110">
        <v>43988.0</v>
      </c>
      <c r="C241" s="20" t="s">
        <v>237</v>
      </c>
      <c r="D241" s="20" t="s">
        <v>238</v>
      </c>
      <c r="E241" s="23">
        <v>428.0</v>
      </c>
      <c r="O241" s="110"/>
    </row>
    <row r="242">
      <c r="A242" s="20">
        <v>66936.0</v>
      </c>
      <c r="B242" s="110">
        <v>43988.0</v>
      </c>
      <c r="C242" s="20" t="s">
        <v>237</v>
      </c>
      <c r="D242" s="20" t="s">
        <v>238</v>
      </c>
      <c r="E242" s="23">
        <v>378.0</v>
      </c>
      <c r="O242" s="110"/>
    </row>
    <row r="243">
      <c r="A243" s="20">
        <v>66951.0</v>
      </c>
      <c r="B243" s="110">
        <v>43988.0</v>
      </c>
      <c r="C243" s="20" t="s">
        <v>229</v>
      </c>
      <c r="D243" s="20" t="s">
        <v>250</v>
      </c>
      <c r="E243" s="23">
        <v>260.0</v>
      </c>
      <c r="O243" s="110"/>
    </row>
    <row r="244">
      <c r="A244" s="20">
        <v>66952.0</v>
      </c>
      <c r="B244" s="110">
        <v>43988.0</v>
      </c>
      <c r="C244" s="20" t="s">
        <v>229</v>
      </c>
      <c r="D244" s="20" t="s">
        <v>244</v>
      </c>
      <c r="E244" s="23">
        <v>164.0</v>
      </c>
      <c r="O244" s="110"/>
    </row>
    <row r="245">
      <c r="A245" s="20">
        <v>66997.0</v>
      </c>
      <c r="B245" s="110">
        <v>43993.0</v>
      </c>
      <c r="C245" s="20" t="s">
        <v>229</v>
      </c>
      <c r="D245" s="20" t="s">
        <v>244</v>
      </c>
      <c r="E245" s="23">
        <v>437.0</v>
      </c>
      <c r="O245" s="110"/>
    </row>
    <row r="246">
      <c r="A246" s="20">
        <v>66995.0</v>
      </c>
      <c r="B246" s="110">
        <v>43993.0</v>
      </c>
      <c r="C246" s="20" t="s">
        <v>229</v>
      </c>
      <c r="D246" s="20" t="s">
        <v>242</v>
      </c>
      <c r="E246" s="23">
        <v>345.0</v>
      </c>
      <c r="O246" s="110"/>
    </row>
    <row r="247">
      <c r="A247" s="20">
        <v>66957.0</v>
      </c>
      <c r="B247" s="110">
        <v>43993.0</v>
      </c>
      <c r="C247" s="20" t="s">
        <v>237</v>
      </c>
      <c r="D247" s="20" t="s">
        <v>245</v>
      </c>
      <c r="E247" s="23">
        <v>361.0</v>
      </c>
      <c r="O247" s="110"/>
    </row>
    <row r="248">
      <c r="A248" s="20">
        <v>66978.0</v>
      </c>
      <c r="B248" s="110">
        <v>43993.0</v>
      </c>
      <c r="C248" s="20" t="s">
        <v>237</v>
      </c>
      <c r="D248" s="20" t="s">
        <v>250</v>
      </c>
      <c r="E248" s="23">
        <v>347.0</v>
      </c>
      <c r="O248" s="110"/>
    </row>
    <row r="249">
      <c r="A249" s="20">
        <v>66962.0</v>
      </c>
      <c r="B249" s="110">
        <v>43993.0</v>
      </c>
      <c r="C249" s="20" t="s">
        <v>237</v>
      </c>
      <c r="D249" s="20" t="s">
        <v>254</v>
      </c>
      <c r="E249" s="23">
        <v>250.0</v>
      </c>
      <c r="O249" s="110"/>
    </row>
    <row r="250">
      <c r="A250" s="20">
        <v>66911.0</v>
      </c>
      <c r="B250" s="110">
        <v>43993.0</v>
      </c>
      <c r="C250" s="20" t="s">
        <v>229</v>
      </c>
      <c r="D250" s="20" t="s">
        <v>254</v>
      </c>
      <c r="E250" s="23">
        <v>354.0</v>
      </c>
      <c r="O250" s="110"/>
    </row>
    <row r="251">
      <c r="A251" s="20">
        <v>66974.0</v>
      </c>
      <c r="B251" s="110">
        <v>43993.0</v>
      </c>
      <c r="C251" s="20" t="s">
        <v>229</v>
      </c>
      <c r="D251" s="20" t="s">
        <v>247</v>
      </c>
      <c r="E251" s="23">
        <v>199.0</v>
      </c>
      <c r="O251" s="110"/>
    </row>
    <row r="252">
      <c r="A252" s="20">
        <v>66963.0</v>
      </c>
      <c r="B252" s="110">
        <v>43995.0</v>
      </c>
      <c r="C252" s="20" t="s">
        <v>229</v>
      </c>
      <c r="D252" s="20" t="s">
        <v>240</v>
      </c>
      <c r="E252" s="23">
        <v>221.0</v>
      </c>
      <c r="O252" s="110"/>
    </row>
    <row r="253">
      <c r="A253" s="20">
        <v>66947.0</v>
      </c>
      <c r="B253" s="110">
        <v>43995.0</v>
      </c>
      <c r="C253" s="20" t="s">
        <v>229</v>
      </c>
      <c r="D253" s="20" t="s">
        <v>247</v>
      </c>
      <c r="E253" s="23">
        <v>384.0</v>
      </c>
      <c r="O253" s="110"/>
    </row>
    <row r="254">
      <c r="A254" s="20">
        <v>66927.0</v>
      </c>
      <c r="B254" s="110">
        <v>43996.0</v>
      </c>
      <c r="C254" s="20" t="s">
        <v>237</v>
      </c>
      <c r="D254" s="20" t="s">
        <v>240</v>
      </c>
      <c r="E254" s="23">
        <v>231.0</v>
      </c>
      <c r="O254" s="110"/>
    </row>
    <row r="255">
      <c r="A255" s="20">
        <v>66989.0</v>
      </c>
      <c r="B255" s="110">
        <v>43996.0</v>
      </c>
      <c r="C255" s="20" t="s">
        <v>237</v>
      </c>
      <c r="D255" s="20" t="s">
        <v>253</v>
      </c>
      <c r="E255" s="23">
        <v>237.0</v>
      </c>
      <c r="O255" s="110"/>
    </row>
    <row r="256">
      <c r="A256" s="20">
        <v>66944.0</v>
      </c>
      <c r="B256" s="110">
        <v>43996.0</v>
      </c>
      <c r="C256" s="20" t="s">
        <v>237</v>
      </c>
      <c r="D256" s="20" t="s">
        <v>238</v>
      </c>
      <c r="E256" s="23">
        <v>351.0</v>
      </c>
      <c r="O256" s="110"/>
    </row>
    <row r="257">
      <c r="A257" s="20">
        <v>66975.0</v>
      </c>
      <c r="B257" s="110">
        <v>43997.0</v>
      </c>
      <c r="C257" s="20" t="s">
        <v>237</v>
      </c>
      <c r="D257" s="20" t="s">
        <v>254</v>
      </c>
      <c r="E257" s="23">
        <v>305.0</v>
      </c>
      <c r="O257" s="110"/>
    </row>
    <row r="258">
      <c r="A258" s="20">
        <v>66940.0</v>
      </c>
      <c r="B258" s="110">
        <v>43997.0</v>
      </c>
      <c r="C258" s="20" t="s">
        <v>237</v>
      </c>
      <c r="D258" s="20" t="s">
        <v>248</v>
      </c>
      <c r="E258" s="23">
        <v>181.0</v>
      </c>
      <c r="O258" s="110"/>
    </row>
    <row r="259">
      <c r="A259" s="20">
        <v>66957.0</v>
      </c>
      <c r="B259" s="110">
        <v>43997.0</v>
      </c>
      <c r="C259" s="20" t="s">
        <v>229</v>
      </c>
      <c r="D259" s="20" t="s">
        <v>233</v>
      </c>
      <c r="E259" s="23">
        <v>361.0</v>
      </c>
      <c r="O259" s="110"/>
    </row>
    <row r="260">
      <c r="A260" s="20">
        <v>66996.0</v>
      </c>
      <c r="B260" s="110">
        <v>43997.0</v>
      </c>
      <c r="C260" s="20" t="s">
        <v>229</v>
      </c>
      <c r="D260" s="20" t="s">
        <v>249</v>
      </c>
      <c r="E260" s="23">
        <v>292.0</v>
      </c>
      <c r="O260" s="110"/>
    </row>
    <row r="261">
      <c r="A261" s="20">
        <v>66987.0</v>
      </c>
      <c r="B261" s="110">
        <v>43997.0</v>
      </c>
      <c r="C261" s="20" t="s">
        <v>229</v>
      </c>
      <c r="D261" s="20" t="s">
        <v>256</v>
      </c>
      <c r="E261" s="23">
        <v>163.0</v>
      </c>
      <c r="O261" s="110"/>
    </row>
    <row r="262">
      <c r="A262" s="20">
        <v>66980.0</v>
      </c>
      <c r="B262" s="110">
        <v>43997.0</v>
      </c>
      <c r="C262" s="20" t="s">
        <v>237</v>
      </c>
      <c r="D262" s="20" t="s">
        <v>254</v>
      </c>
      <c r="E262" s="23">
        <v>319.0</v>
      </c>
      <c r="O262" s="110"/>
    </row>
    <row r="263">
      <c r="A263" s="20">
        <v>66979.0</v>
      </c>
      <c r="B263" s="110">
        <v>43997.0</v>
      </c>
      <c r="C263" s="20" t="s">
        <v>237</v>
      </c>
      <c r="D263" s="20" t="s">
        <v>236</v>
      </c>
      <c r="E263" s="23">
        <v>210.0</v>
      </c>
      <c r="O263" s="110"/>
    </row>
    <row r="264">
      <c r="A264" s="20">
        <v>66941.0</v>
      </c>
      <c r="B264" s="110">
        <v>43998.0</v>
      </c>
      <c r="C264" s="20" t="s">
        <v>229</v>
      </c>
      <c r="D264" s="20" t="s">
        <v>248</v>
      </c>
      <c r="E264" s="23">
        <v>208.0</v>
      </c>
      <c r="O264" s="110"/>
    </row>
    <row r="265">
      <c r="A265" s="20">
        <v>66939.0</v>
      </c>
      <c r="B265" s="110">
        <v>43998.0</v>
      </c>
      <c r="C265" s="20" t="s">
        <v>229</v>
      </c>
      <c r="D265" s="20" t="s">
        <v>252</v>
      </c>
      <c r="E265" s="23">
        <v>308.0</v>
      </c>
      <c r="O265" s="110"/>
    </row>
    <row r="266">
      <c r="A266" s="20">
        <v>66943.0</v>
      </c>
      <c r="B266" s="110">
        <v>43998.0</v>
      </c>
      <c r="C266" s="20" t="s">
        <v>237</v>
      </c>
      <c r="D266" s="20" t="s">
        <v>246</v>
      </c>
      <c r="E266" s="23">
        <v>387.0</v>
      </c>
      <c r="O266" s="110"/>
    </row>
    <row r="267">
      <c r="A267" s="20">
        <v>66947.0</v>
      </c>
      <c r="B267" s="110">
        <v>43998.0</v>
      </c>
      <c r="C267" s="20" t="s">
        <v>237</v>
      </c>
      <c r="D267" s="20" t="s">
        <v>233</v>
      </c>
      <c r="E267" s="23">
        <v>384.0</v>
      </c>
      <c r="O267" s="110"/>
    </row>
    <row r="268">
      <c r="A268" s="20">
        <v>66917.0</v>
      </c>
      <c r="B268" s="110">
        <v>43998.0</v>
      </c>
      <c r="C268" s="20" t="s">
        <v>237</v>
      </c>
      <c r="D268" s="20" t="s">
        <v>239</v>
      </c>
      <c r="E268" s="23">
        <v>416.0</v>
      </c>
      <c r="O268" s="110"/>
    </row>
    <row r="269">
      <c r="A269" s="20">
        <v>66963.0</v>
      </c>
      <c r="B269" s="110">
        <v>43998.0</v>
      </c>
      <c r="C269" s="20" t="s">
        <v>229</v>
      </c>
      <c r="D269" s="20" t="s">
        <v>254</v>
      </c>
      <c r="E269" s="23">
        <v>221.0</v>
      </c>
      <c r="O269" s="110"/>
    </row>
    <row r="270">
      <c r="A270" s="20">
        <v>66988.0</v>
      </c>
      <c r="B270" s="110">
        <v>43998.0</v>
      </c>
      <c r="C270" s="20" t="s">
        <v>229</v>
      </c>
      <c r="D270" s="20" t="s">
        <v>253</v>
      </c>
      <c r="E270" s="23">
        <v>404.0</v>
      </c>
      <c r="O270" s="110"/>
    </row>
    <row r="271">
      <c r="A271" s="20">
        <v>66983.0</v>
      </c>
      <c r="B271" s="110">
        <v>44003.0</v>
      </c>
      <c r="C271" s="20" t="s">
        <v>237</v>
      </c>
      <c r="D271" s="20" t="s">
        <v>256</v>
      </c>
      <c r="E271" s="23">
        <v>335.0</v>
      </c>
      <c r="O271" s="110"/>
    </row>
    <row r="272">
      <c r="A272" s="20">
        <v>66917.0</v>
      </c>
      <c r="B272" s="110">
        <v>44003.0</v>
      </c>
      <c r="C272" s="20" t="s">
        <v>237</v>
      </c>
      <c r="D272" s="20" t="s">
        <v>251</v>
      </c>
      <c r="E272" s="23">
        <v>416.0</v>
      </c>
      <c r="O272" s="110"/>
    </row>
    <row r="273">
      <c r="A273" s="20">
        <v>66998.0</v>
      </c>
      <c r="B273" s="110">
        <v>44003.0</v>
      </c>
      <c r="C273" s="20" t="s">
        <v>229</v>
      </c>
      <c r="D273" s="20" t="s">
        <v>246</v>
      </c>
      <c r="E273" s="23">
        <v>425.0</v>
      </c>
      <c r="O273" s="110"/>
    </row>
    <row r="274">
      <c r="A274" s="20">
        <v>66960.0</v>
      </c>
      <c r="B274" s="110">
        <v>44003.0</v>
      </c>
      <c r="C274" s="20" t="s">
        <v>229</v>
      </c>
      <c r="D274" s="20" t="s">
        <v>236</v>
      </c>
      <c r="E274" s="23">
        <v>325.0</v>
      </c>
      <c r="O274" s="110"/>
    </row>
    <row r="275">
      <c r="A275" s="20">
        <v>66958.0</v>
      </c>
      <c r="B275" s="110">
        <v>44003.0</v>
      </c>
      <c r="C275" s="20" t="s">
        <v>229</v>
      </c>
      <c r="D275" s="20" t="s">
        <v>242</v>
      </c>
      <c r="E275" s="23">
        <v>383.0</v>
      </c>
      <c r="O275" s="110"/>
    </row>
    <row r="276">
      <c r="A276" s="20">
        <v>66977.0</v>
      </c>
      <c r="B276" s="110">
        <v>44003.0</v>
      </c>
      <c r="C276" s="20" t="s">
        <v>237</v>
      </c>
      <c r="D276" s="20" t="s">
        <v>256</v>
      </c>
      <c r="E276" s="23">
        <v>198.0</v>
      </c>
      <c r="O276" s="110"/>
    </row>
    <row r="277">
      <c r="A277" s="20">
        <v>66909.0</v>
      </c>
      <c r="B277" s="110">
        <v>44003.0</v>
      </c>
      <c r="C277" s="20" t="s">
        <v>237</v>
      </c>
      <c r="D277" s="20" t="s">
        <v>245</v>
      </c>
      <c r="E277" s="23">
        <v>294.0</v>
      </c>
      <c r="O277" s="110"/>
    </row>
    <row r="278">
      <c r="A278" s="20">
        <v>66970.0</v>
      </c>
      <c r="B278" s="110">
        <v>44007.0</v>
      </c>
      <c r="C278" s="20" t="s">
        <v>229</v>
      </c>
      <c r="D278" s="20" t="s">
        <v>256</v>
      </c>
      <c r="E278" s="23">
        <v>428.0</v>
      </c>
      <c r="O278" s="110"/>
    </row>
    <row r="279">
      <c r="A279" s="20">
        <v>66974.0</v>
      </c>
      <c r="B279" s="110">
        <v>44008.0</v>
      </c>
      <c r="C279" s="20" t="s">
        <v>229</v>
      </c>
      <c r="D279" s="20" t="s">
        <v>256</v>
      </c>
      <c r="E279" s="23">
        <v>199.0</v>
      </c>
      <c r="O279" s="110"/>
    </row>
    <row r="280">
      <c r="A280" s="20">
        <v>66912.0</v>
      </c>
      <c r="B280" s="110">
        <v>44008.0</v>
      </c>
      <c r="C280" s="20" t="s">
        <v>229</v>
      </c>
      <c r="D280" s="20" t="s">
        <v>246</v>
      </c>
      <c r="E280" s="23">
        <v>422.0</v>
      </c>
      <c r="O280" s="110"/>
    </row>
    <row r="281">
      <c r="A281" s="20">
        <v>66961.0</v>
      </c>
      <c r="B281" s="110">
        <v>44011.0</v>
      </c>
      <c r="C281" s="20" t="s">
        <v>237</v>
      </c>
      <c r="D281" s="20" t="s">
        <v>247</v>
      </c>
      <c r="E281" s="23">
        <v>222.0</v>
      </c>
      <c r="O281" s="110"/>
    </row>
    <row r="282">
      <c r="A282" s="20">
        <v>66842.0</v>
      </c>
      <c r="B282" s="110">
        <v>44016.0</v>
      </c>
      <c r="C282" s="20" t="s">
        <v>229</v>
      </c>
      <c r="D282" s="20" t="s">
        <v>247</v>
      </c>
      <c r="E282" s="23">
        <v>398.0</v>
      </c>
      <c r="O282" s="110"/>
    </row>
    <row r="283">
      <c r="A283" s="20">
        <v>66815.0</v>
      </c>
      <c r="B283" s="110">
        <v>44016.0</v>
      </c>
      <c r="C283" s="20" t="s">
        <v>229</v>
      </c>
      <c r="D283" s="20" t="s">
        <v>248</v>
      </c>
      <c r="E283" s="23">
        <v>370.0</v>
      </c>
      <c r="O283" s="110"/>
    </row>
    <row r="284">
      <c r="A284" s="20">
        <v>66825.0</v>
      </c>
      <c r="B284" s="110">
        <v>44019.0</v>
      </c>
      <c r="C284" s="20" t="s">
        <v>229</v>
      </c>
      <c r="D284" s="20" t="s">
        <v>236</v>
      </c>
      <c r="E284" s="23">
        <v>276.0</v>
      </c>
      <c r="O284" s="110"/>
    </row>
    <row r="285">
      <c r="A285" s="20">
        <v>66834.0</v>
      </c>
      <c r="B285" s="110">
        <v>44019.0</v>
      </c>
      <c r="C285" s="20" t="s">
        <v>229</v>
      </c>
      <c r="D285" s="20" t="s">
        <v>233</v>
      </c>
      <c r="E285" s="23">
        <v>238.0</v>
      </c>
      <c r="O285" s="110"/>
    </row>
    <row r="286">
      <c r="A286" s="20">
        <v>66871.0</v>
      </c>
      <c r="B286" s="110">
        <v>44019.0</v>
      </c>
      <c r="C286" s="20" t="s">
        <v>237</v>
      </c>
      <c r="D286" s="20" t="s">
        <v>244</v>
      </c>
      <c r="E286" s="23">
        <v>267.0</v>
      </c>
      <c r="O286" s="110"/>
    </row>
    <row r="287">
      <c r="A287" s="20">
        <v>66892.0</v>
      </c>
      <c r="B287" s="110">
        <v>44019.0</v>
      </c>
      <c r="C287" s="20" t="s">
        <v>237</v>
      </c>
      <c r="D287" s="20" t="s">
        <v>246</v>
      </c>
      <c r="E287" s="23">
        <v>414.0</v>
      </c>
      <c r="O287" s="110"/>
    </row>
    <row r="288">
      <c r="A288" s="20">
        <v>66858.0</v>
      </c>
      <c r="B288" s="110">
        <v>44019.0</v>
      </c>
      <c r="C288" s="20" t="s">
        <v>237</v>
      </c>
      <c r="D288" s="20" t="s">
        <v>247</v>
      </c>
      <c r="E288" s="23">
        <v>328.0</v>
      </c>
      <c r="O288" s="110"/>
    </row>
    <row r="289">
      <c r="A289" s="20">
        <v>66880.0</v>
      </c>
      <c r="B289" s="110">
        <v>44019.0</v>
      </c>
      <c r="C289" s="20" t="s">
        <v>229</v>
      </c>
      <c r="D289" s="20" t="s">
        <v>256</v>
      </c>
      <c r="E289" s="23">
        <v>184.0</v>
      </c>
      <c r="O289" s="110"/>
    </row>
    <row r="290">
      <c r="A290" s="20">
        <v>66832.0</v>
      </c>
      <c r="B290" s="110">
        <v>44019.0</v>
      </c>
      <c r="C290" s="20" t="s">
        <v>229</v>
      </c>
      <c r="D290" s="20" t="s">
        <v>238</v>
      </c>
      <c r="E290" s="23">
        <v>259.0</v>
      </c>
      <c r="O290" s="110"/>
    </row>
    <row r="291">
      <c r="A291" s="20">
        <v>66808.0</v>
      </c>
      <c r="B291" s="110">
        <v>44023.0</v>
      </c>
      <c r="C291" s="20" t="s">
        <v>229</v>
      </c>
      <c r="D291" s="20" t="s">
        <v>238</v>
      </c>
      <c r="E291" s="23">
        <v>329.0</v>
      </c>
      <c r="O291" s="110"/>
    </row>
    <row r="292">
      <c r="A292" s="20">
        <v>66830.0</v>
      </c>
      <c r="B292" s="110">
        <v>44023.0</v>
      </c>
      <c r="C292" s="20" t="s">
        <v>229</v>
      </c>
      <c r="D292" s="20" t="s">
        <v>256</v>
      </c>
      <c r="E292" s="23">
        <v>440.0</v>
      </c>
      <c r="O292" s="110"/>
    </row>
    <row r="293">
      <c r="A293" s="20">
        <v>66810.0</v>
      </c>
      <c r="B293" s="110">
        <v>44023.0</v>
      </c>
      <c r="C293" s="20" t="s">
        <v>237</v>
      </c>
      <c r="D293" s="20" t="s">
        <v>244</v>
      </c>
      <c r="E293" s="23">
        <v>373.0</v>
      </c>
      <c r="O293" s="110"/>
    </row>
    <row r="294">
      <c r="A294" s="20">
        <v>66873.0</v>
      </c>
      <c r="B294" s="110">
        <v>44023.0</v>
      </c>
      <c r="C294" s="20" t="s">
        <v>237</v>
      </c>
      <c r="D294" s="20" t="s">
        <v>248</v>
      </c>
      <c r="E294" s="23">
        <v>196.0</v>
      </c>
      <c r="O294" s="110"/>
    </row>
    <row r="295">
      <c r="A295" s="20">
        <v>66883.0</v>
      </c>
      <c r="B295" s="110">
        <v>44023.0</v>
      </c>
      <c r="C295" s="20" t="s">
        <v>237</v>
      </c>
      <c r="D295" s="20" t="s">
        <v>256</v>
      </c>
      <c r="E295" s="23">
        <v>275.0</v>
      </c>
      <c r="O295" s="110"/>
    </row>
    <row r="296">
      <c r="A296" s="20">
        <v>66891.0</v>
      </c>
      <c r="B296" s="110">
        <v>44023.0</v>
      </c>
      <c r="C296" s="20" t="s">
        <v>229</v>
      </c>
      <c r="D296" s="20" t="s">
        <v>252</v>
      </c>
      <c r="E296" s="23">
        <v>404.0</v>
      </c>
      <c r="O296" s="110"/>
    </row>
    <row r="297">
      <c r="A297" s="20">
        <v>66897.0</v>
      </c>
      <c r="B297" s="110">
        <v>44023.0</v>
      </c>
      <c r="C297" s="20" t="s">
        <v>229</v>
      </c>
      <c r="D297" s="20" t="s">
        <v>256</v>
      </c>
      <c r="E297" s="23">
        <v>291.0</v>
      </c>
      <c r="O297" s="110"/>
    </row>
    <row r="298">
      <c r="A298" s="20">
        <v>66851.0</v>
      </c>
      <c r="B298" s="110">
        <v>44025.0</v>
      </c>
      <c r="C298" s="20" t="s">
        <v>229</v>
      </c>
      <c r="D298" s="20" t="s">
        <v>250</v>
      </c>
      <c r="E298" s="23">
        <v>218.0</v>
      </c>
      <c r="O298" s="110"/>
    </row>
    <row r="299">
      <c r="A299" s="20">
        <v>66821.0</v>
      </c>
      <c r="B299" s="110">
        <v>44025.0</v>
      </c>
      <c r="C299" s="20" t="s">
        <v>229</v>
      </c>
      <c r="D299" s="20" t="s">
        <v>249</v>
      </c>
      <c r="E299" s="23">
        <v>385.0</v>
      </c>
      <c r="O299" s="110"/>
    </row>
    <row r="300">
      <c r="A300" s="20">
        <v>66841.0</v>
      </c>
      <c r="B300" s="110">
        <v>44026.0</v>
      </c>
      <c r="C300" s="20" t="s">
        <v>237</v>
      </c>
      <c r="D300" s="20" t="s">
        <v>240</v>
      </c>
      <c r="E300" s="23">
        <v>329.0</v>
      </c>
      <c r="O300" s="110"/>
    </row>
    <row r="301">
      <c r="A301" s="20">
        <v>66886.0</v>
      </c>
      <c r="B301" s="110">
        <v>44026.0</v>
      </c>
      <c r="C301" s="20" t="s">
        <v>237</v>
      </c>
      <c r="D301" s="20" t="s">
        <v>244</v>
      </c>
      <c r="E301" s="23">
        <v>289.0</v>
      </c>
      <c r="O301" s="110"/>
    </row>
    <row r="302">
      <c r="A302" s="20">
        <v>66885.0</v>
      </c>
      <c r="B302" s="110">
        <v>44026.0</v>
      </c>
      <c r="C302" s="20" t="s">
        <v>237</v>
      </c>
      <c r="D302" s="20" t="s">
        <v>249</v>
      </c>
      <c r="E302" s="23">
        <v>406.0</v>
      </c>
      <c r="O302" s="110"/>
    </row>
    <row r="303">
      <c r="A303" s="20">
        <v>66862.0</v>
      </c>
      <c r="B303" s="110">
        <v>44027.0</v>
      </c>
      <c r="C303" s="20" t="s">
        <v>237</v>
      </c>
      <c r="D303" s="20" t="s">
        <v>250</v>
      </c>
      <c r="E303" s="23">
        <v>341.0</v>
      </c>
      <c r="O303" s="110"/>
    </row>
    <row r="304">
      <c r="A304" s="20">
        <v>66807.0</v>
      </c>
      <c r="B304" s="110">
        <v>44027.0</v>
      </c>
      <c r="C304" s="20" t="s">
        <v>237</v>
      </c>
      <c r="D304" s="20" t="s">
        <v>249</v>
      </c>
      <c r="E304" s="23">
        <v>337.0</v>
      </c>
      <c r="O304" s="110"/>
    </row>
    <row r="305">
      <c r="A305" s="20">
        <v>66817.0</v>
      </c>
      <c r="B305" s="110">
        <v>44027.0</v>
      </c>
      <c r="C305" s="20" t="s">
        <v>229</v>
      </c>
      <c r="D305" s="20" t="s">
        <v>252</v>
      </c>
      <c r="E305" s="23">
        <v>249.0</v>
      </c>
      <c r="O305" s="110"/>
    </row>
    <row r="306">
      <c r="A306" s="20">
        <v>66844.0</v>
      </c>
      <c r="B306" s="110">
        <v>44027.0</v>
      </c>
      <c r="C306" s="20" t="s">
        <v>229</v>
      </c>
      <c r="D306" s="20" t="s">
        <v>249</v>
      </c>
      <c r="E306" s="23">
        <v>249.0</v>
      </c>
      <c r="O306" s="110"/>
    </row>
    <row r="307">
      <c r="A307" s="20">
        <v>66865.0</v>
      </c>
      <c r="B307" s="110">
        <v>44027.0</v>
      </c>
      <c r="C307" s="20" t="s">
        <v>229</v>
      </c>
      <c r="D307" s="20" t="s">
        <v>247</v>
      </c>
      <c r="E307" s="23">
        <v>434.0</v>
      </c>
      <c r="O307" s="110"/>
    </row>
    <row r="308">
      <c r="A308" s="20">
        <v>66820.0</v>
      </c>
      <c r="B308" s="110">
        <v>44027.0</v>
      </c>
      <c r="C308" s="20" t="s">
        <v>237</v>
      </c>
      <c r="D308" s="20" t="s">
        <v>253</v>
      </c>
      <c r="E308" s="23">
        <v>207.0</v>
      </c>
      <c r="O308" s="110"/>
    </row>
    <row r="309">
      <c r="A309" s="20">
        <v>66813.0</v>
      </c>
      <c r="B309" s="110">
        <v>44027.0</v>
      </c>
      <c r="C309" s="20" t="s">
        <v>237</v>
      </c>
      <c r="D309" s="20" t="s">
        <v>245</v>
      </c>
      <c r="E309" s="23">
        <v>262.0</v>
      </c>
      <c r="O309" s="110"/>
    </row>
    <row r="310">
      <c r="A310" s="20">
        <v>66832.0</v>
      </c>
      <c r="B310" s="110">
        <v>44029.0</v>
      </c>
      <c r="C310" s="20" t="s">
        <v>229</v>
      </c>
      <c r="D310" s="20" t="s">
        <v>233</v>
      </c>
      <c r="E310" s="23">
        <v>259.0</v>
      </c>
      <c r="O310" s="110"/>
    </row>
    <row r="311">
      <c r="A311" s="20">
        <v>66875.0</v>
      </c>
      <c r="B311" s="110">
        <v>44029.0</v>
      </c>
      <c r="C311" s="20" t="s">
        <v>229</v>
      </c>
      <c r="D311" s="20" t="s">
        <v>254</v>
      </c>
      <c r="E311" s="23">
        <v>423.0</v>
      </c>
      <c r="O311" s="110"/>
    </row>
    <row r="312">
      <c r="A312" s="20">
        <v>66849.0</v>
      </c>
      <c r="B312" s="110">
        <v>44029.0</v>
      </c>
      <c r="C312" s="20" t="s">
        <v>237</v>
      </c>
      <c r="D312" s="20" t="s">
        <v>253</v>
      </c>
      <c r="E312" s="23">
        <v>423.0</v>
      </c>
      <c r="O312" s="110"/>
    </row>
    <row r="313">
      <c r="A313" s="20">
        <v>66888.0</v>
      </c>
      <c r="B313" s="110">
        <v>44029.0</v>
      </c>
      <c r="C313" s="20" t="s">
        <v>237</v>
      </c>
      <c r="D313" s="20" t="s">
        <v>253</v>
      </c>
      <c r="E313" s="23">
        <v>446.0</v>
      </c>
      <c r="O313" s="110"/>
    </row>
    <row r="314">
      <c r="A314" s="20">
        <v>66862.0</v>
      </c>
      <c r="B314" s="110">
        <v>44029.0</v>
      </c>
      <c r="C314" s="20" t="s">
        <v>237</v>
      </c>
      <c r="D314" s="20" t="s">
        <v>236</v>
      </c>
      <c r="E314" s="23">
        <v>341.0</v>
      </c>
      <c r="O314" s="110"/>
    </row>
    <row r="315">
      <c r="A315" s="20">
        <v>66831.0</v>
      </c>
      <c r="B315" s="110">
        <v>44029.0</v>
      </c>
      <c r="C315" s="20" t="s">
        <v>229</v>
      </c>
      <c r="D315" s="20" t="s">
        <v>244</v>
      </c>
      <c r="E315" s="23">
        <v>358.0</v>
      </c>
      <c r="O315" s="110"/>
    </row>
    <row r="316">
      <c r="A316" s="20">
        <v>66842.0</v>
      </c>
      <c r="B316" s="110">
        <v>44029.0</v>
      </c>
      <c r="C316" s="20" t="s">
        <v>229</v>
      </c>
      <c r="D316" s="20" t="s">
        <v>249</v>
      </c>
      <c r="E316" s="23">
        <v>398.0</v>
      </c>
      <c r="O316" s="110"/>
    </row>
    <row r="317">
      <c r="A317" s="20">
        <v>66885.0</v>
      </c>
      <c r="B317" s="110">
        <v>44033.0</v>
      </c>
      <c r="C317" s="20" t="s">
        <v>237</v>
      </c>
      <c r="D317" s="20" t="s">
        <v>253</v>
      </c>
      <c r="E317" s="23">
        <v>406.0</v>
      </c>
      <c r="O317" s="110"/>
    </row>
    <row r="318">
      <c r="A318" s="20">
        <v>66894.0</v>
      </c>
      <c r="B318" s="110">
        <v>44033.0</v>
      </c>
      <c r="C318" s="20" t="s">
        <v>237</v>
      </c>
      <c r="D318" s="20" t="s">
        <v>240</v>
      </c>
      <c r="E318" s="23">
        <v>418.0</v>
      </c>
      <c r="O318" s="110"/>
    </row>
    <row r="319">
      <c r="A319" s="20">
        <v>66897.0</v>
      </c>
      <c r="B319" s="110">
        <v>44033.0</v>
      </c>
      <c r="C319" s="20" t="s">
        <v>229</v>
      </c>
      <c r="D319" s="20" t="s">
        <v>249</v>
      </c>
      <c r="E319" s="23">
        <v>291.0</v>
      </c>
      <c r="O319" s="110"/>
    </row>
    <row r="320">
      <c r="A320" s="20">
        <v>66817.0</v>
      </c>
      <c r="B320" s="110">
        <v>44033.0</v>
      </c>
      <c r="C320" s="20" t="s">
        <v>229</v>
      </c>
      <c r="D320" s="20" t="s">
        <v>239</v>
      </c>
      <c r="E320" s="23">
        <v>249.0</v>
      </c>
      <c r="O320" s="110"/>
    </row>
    <row r="321">
      <c r="A321" s="20">
        <v>66812.0</v>
      </c>
      <c r="B321" s="110">
        <v>44033.0</v>
      </c>
      <c r="C321" s="20" t="s">
        <v>229</v>
      </c>
      <c r="D321" s="20" t="s">
        <v>245</v>
      </c>
      <c r="E321" s="23">
        <v>248.0</v>
      </c>
      <c r="O321" s="110"/>
    </row>
    <row r="322">
      <c r="A322" s="20">
        <v>66878.0</v>
      </c>
      <c r="B322" s="110">
        <v>44033.0</v>
      </c>
      <c r="C322" s="20" t="s">
        <v>237</v>
      </c>
      <c r="D322" s="20" t="s">
        <v>249</v>
      </c>
      <c r="E322" s="23">
        <v>374.0</v>
      </c>
      <c r="O322" s="110"/>
    </row>
    <row r="323">
      <c r="A323" s="20">
        <v>66877.0</v>
      </c>
      <c r="B323" s="110">
        <v>44033.0</v>
      </c>
      <c r="C323" s="20" t="s">
        <v>237</v>
      </c>
      <c r="D323" s="20" t="s">
        <v>254</v>
      </c>
      <c r="E323" s="23">
        <v>295.0</v>
      </c>
      <c r="O323" s="110"/>
    </row>
    <row r="324">
      <c r="A324" s="20">
        <v>66862.0</v>
      </c>
      <c r="B324" s="110">
        <v>44037.0</v>
      </c>
      <c r="C324" s="20" t="s">
        <v>229</v>
      </c>
      <c r="D324" s="20" t="s">
        <v>246</v>
      </c>
      <c r="E324" s="23">
        <v>341.0</v>
      </c>
      <c r="O324" s="110"/>
    </row>
    <row r="325">
      <c r="A325" s="20">
        <v>66829.0</v>
      </c>
      <c r="B325" s="110">
        <v>44039.0</v>
      </c>
      <c r="C325" s="20" t="s">
        <v>229</v>
      </c>
      <c r="D325" s="20" t="s">
        <v>230</v>
      </c>
      <c r="E325" s="23">
        <v>383.0</v>
      </c>
      <c r="O325" s="110"/>
    </row>
    <row r="326">
      <c r="A326" s="20">
        <v>66830.0</v>
      </c>
      <c r="B326" s="110">
        <v>44039.0</v>
      </c>
      <c r="C326" s="20" t="s">
        <v>229</v>
      </c>
      <c r="D326" s="20" t="s">
        <v>233</v>
      </c>
      <c r="E326" s="23">
        <v>440.0</v>
      </c>
      <c r="O326" s="110"/>
    </row>
    <row r="327">
      <c r="A327" s="20">
        <v>66862.0</v>
      </c>
      <c r="B327" s="110">
        <v>44041.0</v>
      </c>
      <c r="C327" s="20" t="s">
        <v>237</v>
      </c>
      <c r="D327" s="20" t="s">
        <v>244</v>
      </c>
      <c r="E327" s="23">
        <v>341.0</v>
      </c>
      <c r="O327" s="110"/>
    </row>
    <row r="328">
      <c r="A328" s="20">
        <v>66492.0</v>
      </c>
      <c r="B328" s="110">
        <v>44047.0</v>
      </c>
      <c r="C328" s="20" t="s">
        <v>229</v>
      </c>
      <c r="D328" s="20" t="s">
        <v>239</v>
      </c>
      <c r="E328" s="23">
        <v>223.0</v>
      </c>
      <c r="O328" s="110"/>
    </row>
    <row r="329">
      <c r="A329" s="20">
        <v>66392.0</v>
      </c>
      <c r="B329" s="110">
        <v>44047.0</v>
      </c>
      <c r="C329" s="20" t="s">
        <v>229</v>
      </c>
      <c r="D329" s="20" t="s">
        <v>240</v>
      </c>
      <c r="E329" s="23">
        <v>332.0</v>
      </c>
      <c r="O329" s="110"/>
    </row>
    <row r="330">
      <c r="A330" s="20">
        <v>66403.0</v>
      </c>
      <c r="B330" s="110">
        <v>44050.0</v>
      </c>
      <c r="C330" s="20" t="s">
        <v>229</v>
      </c>
      <c r="D330" s="20" t="s">
        <v>255</v>
      </c>
      <c r="E330" s="23">
        <v>312.0</v>
      </c>
      <c r="O330" s="110"/>
    </row>
    <row r="331">
      <c r="A331" s="20">
        <v>66421.0</v>
      </c>
      <c r="B331" s="110">
        <v>44050.0</v>
      </c>
      <c r="C331" s="20" t="s">
        <v>229</v>
      </c>
      <c r="D331" s="20" t="s">
        <v>247</v>
      </c>
      <c r="E331" s="23">
        <v>307.0</v>
      </c>
      <c r="O331" s="110"/>
    </row>
    <row r="332">
      <c r="A332" s="20">
        <v>66343.0</v>
      </c>
      <c r="B332" s="110">
        <v>44051.0</v>
      </c>
      <c r="C332" s="20" t="s">
        <v>237</v>
      </c>
      <c r="D332" s="20" t="s">
        <v>242</v>
      </c>
      <c r="E332" s="23">
        <v>361.0</v>
      </c>
      <c r="O332" s="110"/>
    </row>
    <row r="333">
      <c r="A333" s="20">
        <v>66373.0</v>
      </c>
      <c r="B333" s="110">
        <v>44051.0</v>
      </c>
      <c r="C333" s="20" t="s">
        <v>237</v>
      </c>
      <c r="D333" s="20" t="s">
        <v>240</v>
      </c>
      <c r="E333" s="23">
        <v>358.0</v>
      </c>
      <c r="O333" s="110"/>
    </row>
    <row r="334">
      <c r="A334" s="20">
        <v>66398.0</v>
      </c>
      <c r="B334" s="110">
        <v>44051.0</v>
      </c>
      <c r="C334" s="20" t="s">
        <v>237</v>
      </c>
      <c r="D334" s="20" t="s">
        <v>245</v>
      </c>
      <c r="E334" s="23">
        <v>198.0</v>
      </c>
      <c r="O334" s="110"/>
    </row>
    <row r="335">
      <c r="A335" s="20">
        <v>66416.0</v>
      </c>
      <c r="B335" s="110">
        <v>44051.0</v>
      </c>
      <c r="C335" s="20" t="s">
        <v>229</v>
      </c>
      <c r="D335" s="20" t="s">
        <v>256</v>
      </c>
      <c r="E335" s="23">
        <v>409.0</v>
      </c>
      <c r="O335" s="110"/>
    </row>
    <row r="336">
      <c r="A336" s="20">
        <v>66436.0</v>
      </c>
      <c r="B336" s="110">
        <v>44051.0</v>
      </c>
      <c r="C336" s="20" t="s">
        <v>229</v>
      </c>
      <c r="D336" s="20" t="s">
        <v>255</v>
      </c>
      <c r="E336" s="23">
        <v>255.0</v>
      </c>
      <c r="O336" s="110"/>
    </row>
    <row r="337">
      <c r="A337" s="20">
        <v>66456.0</v>
      </c>
      <c r="B337" s="110">
        <v>44054.0</v>
      </c>
      <c r="C337" s="20" t="s">
        <v>229</v>
      </c>
      <c r="D337" s="20" t="s">
        <v>239</v>
      </c>
      <c r="E337" s="23">
        <v>280.0</v>
      </c>
      <c r="O337" s="110"/>
    </row>
    <row r="338">
      <c r="A338" s="20">
        <v>66448.0</v>
      </c>
      <c r="B338" s="110">
        <v>44054.0</v>
      </c>
      <c r="C338" s="20" t="s">
        <v>229</v>
      </c>
      <c r="D338" s="20" t="s">
        <v>250</v>
      </c>
      <c r="E338" s="23">
        <v>245.0</v>
      </c>
      <c r="O338" s="110"/>
    </row>
    <row r="339">
      <c r="A339" s="20">
        <v>66409.0</v>
      </c>
      <c r="B339" s="110">
        <v>44054.0</v>
      </c>
      <c r="C339" s="20" t="s">
        <v>237</v>
      </c>
      <c r="D339" s="20" t="s">
        <v>251</v>
      </c>
      <c r="E339" s="23">
        <v>310.0</v>
      </c>
      <c r="O339" s="110"/>
    </row>
    <row r="340">
      <c r="A340" s="20">
        <v>66304.0</v>
      </c>
      <c r="B340" s="110">
        <v>44054.0</v>
      </c>
      <c r="C340" s="20" t="s">
        <v>237</v>
      </c>
      <c r="D340" s="20" t="s">
        <v>242</v>
      </c>
      <c r="E340" s="23">
        <v>282.0</v>
      </c>
      <c r="O340" s="110"/>
    </row>
    <row r="341">
      <c r="A341" s="20">
        <v>66349.0</v>
      </c>
      <c r="B341" s="110">
        <v>44054.0</v>
      </c>
      <c r="C341" s="20" t="s">
        <v>237</v>
      </c>
      <c r="D341" s="20" t="s">
        <v>245</v>
      </c>
      <c r="E341" s="23">
        <v>403.0</v>
      </c>
      <c r="O341" s="110"/>
    </row>
    <row r="342">
      <c r="A342" s="20">
        <v>66349.0</v>
      </c>
      <c r="B342" s="110">
        <v>44054.0</v>
      </c>
      <c r="C342" s="20" t="s">
        <v>229</v>
      </c>
      <c r="D342" s="20" t="s">
        <v>250</v>
      </c>
      <c r="E342" s="23">
        <v>403.0</v>
      </c>
      <c r="O342" s="110"/>
    </row>
    <row r="343">
      <c r="A343" s="20">
        <v>66396.0</v>
      </c>
      <c r="B343" s="110">
        <v>44054.0</v>
      </c>
      <c r="C343" s="20" t="s">
        <v>229</v>
      </c>
      <c r="D343" s="20" t="s">
        <v>236</v>
      </c>
      <c r="E343" s="23">
        <v>306.0</v>
      </c>
      <c r="O343" s="110"/>
    </row>
    <row r="344">
      <c r="A344" s="20">
        <v>66488.0</v>
      </c>
      <c r="B344" s="110">
        <v>44056.0</v>
      </c>
      <c r="C344" s="20" t="s">
        <v>229</v>
      </c>
      <c r="D344" s="20" t="s">
        <v>245</v>
      </c>
      <c r="E344" s="23">
        <v>450.0</v>
      </c>
      <c r="O344" s="110"/>
    </row>
    <row r="345">
      <c r="A345" s="20">
        <v>66395.0</v>
      </c>
      <c r="B345" s="110">
        <v>44056.0</v>
      </c>
      <c r="C345" s="20" t="s">
        <v>229</v>
      </c>
      <c r="D345" s="20" t="s">
        <v>253</v>
      </c>
      <c r="E345" s="23">
        <v>259.0</v>
      </c>
      <c r="O345" s="110"/>
    </row>
    <row r="346">
      <c r="A346" s="20">
        <v>66414.0</v>
      </c>
      <c r="B346" s="110">
        <v>44057.0</v>
      </c>
      <c r="C346" s="20" t="s">
        <v>237</v>
      </c>
      <c r="D346" s="20" t="s">
        <v>244</v>
      </c>
      <c r="E346" s="23">
        <v>201.0</v>
      </c>
      <c r="O346" s="110"/>
    </row>
    <row r="347">
      <c r="A347" s="20">
        <v>66381.0</v>
      </c>
      <c r="B347" s="110">
        <v>44057.0</v>
      </c>
      <c r="C347" s="20" t="s">
        <v>237</v>
      </c>
      <c r="D347" s="20" t="s">
        <v>252</v>
      </c>
      <c r="E347" s="23">
        <v>215.0</v>
      </c>
      <c r="O347" s="110"/>
    </row>
    <row r="348">
      <c r="A348" s="20">
        <v>66331.0</v>
      </c>
      <c r="B348" s="110">
        <v>44057.0</v>
      </c>
      <c r="C348" s="20" t="s">
        <v>237</v>
      </c>
      <c r="D348" s="20" t="s">
        <v>254</v>
      </c>
      <c r="E348" s="23">
        <v>173.0</v>
      </c>
      <c r="O348" s="110"/>
    </row>
    <row r="349">
      <c r="A349" s="20">
        <v>66300.0</v>
      </c>
      <c r="B349" s="110">
        <v>44058.0</v>
      </c>
      <c r="C349" s="20" t="s">
        <v>237</v>
      </c>
      <c r="D349" s="20" t="s">
        <v>252</v>
      </c>
      <c r="E349" s="23">
        <v>195.0</v>
      </c>
      <c r="O349" s="110"/>
    </row>
    <row r="350">
      <c r="A350" s="20">
        <v>66448.0</v>
      </c>
      <c r="B350" s="110">
        <v>44058.0</v>
      </c>
      <c r="C350" s="20" t="s">
        <v>237</v>
      </c>
      <c r="D350" s="20" t="s">
        <v>230</v>
      </c>
      <c r="E350" s="23">
        <v>245.0</v>
      </c>
      <c r="O350" s="110"/>
    </row>
    <row r="351">
      <c r="A351" s="20">
        <v>66480.0</v>
      </c>
      <c r="B351" s="110">
        <v>44058.0</v>
      </c>
      <c r="C351" s="20" t="s">
        <v>229</v>
      </c>
      <c r="D351" s="20" t="s">
        <v>256</v>
      </c>
      <c r="E351" s="23">
        <v>205.0</v>
      </c>
      <c r="O351" s="110"/>
    </row>
    <row r="352">
      <c r="A352" s="20">
        <v>66402.0</v>
      </c>
      <c r="B352" s="110">
        <v>44058.0</v>
      </c>
      <c r="C352" s="20" t="s">
        <v>229</v>
      </c>
      <c r="D352" s="20" t="s">
        <v>255</v>
      </c>
      <c r="E352" s="23">
        <v>217.0</v>
      </c>
      <c r="O352" s="110"/>
    </row>
    <row r="353">
      <c r="A353" s="20">
        <v>66427.0</v>
      </c>
      <c r="B353" s="110">
        <v>44058.0</v>
      </c>
      <c r="C353" s="20" t="s">
        <v>229</v>
      </c>
      <c r="D353" s="20" t="s">
        <v>249</v>
      </c>
      <c r="E353" s="23">
        <v>385.0</v>
      </c>
      <c r="O353" s="110"/>
    </row>
    <row r="354">
      <c r="A354" s="20">
        <v>66490.0</v>
      </c>
      <c r="B354" s="110">
        <v>44058.0</v>
      </c>
      <c r="C354" s="20" t="s">
        <v>237</v>
      </c>
      <c r="D354" s="20" t="s">
        <v>239</v>
      </c>
      <c r="E354" s="23">
        <v>330.0</v>
      </c>
      <c r="O354" s="110"/>
    </row>
    <row r="355">
      <c r="A355" s="20">
        <v>66379.0</v>
      </c>
      <c r="B355" s="110">
        <v>44058.0</v>
      </c>
      <c r="C355" s="20" t="s">
        <v>237</v>
      </c>
      <c r="D355" s="20" t="s">
        <v>254</v>
      </c>
      <c r="E355" s="23">
        <v>156.0</v>
      </c>
      <c r="O355" s="110"/>
    </row>
    <row r="356">
      <c r="A356" s="20">
        <v>66437.0</v>
      </c>
      <c r="B356" s="110">
        <v>44060.0</v>
      </c>
      <c r="C356" s="20" t="s">
        <v>229</v>
      </c>
      <c r="D356" s="20" t="s">
        <v>252</v>
      </c>
      <c r="E356" s="23">
        <v>329.0</v>
      </c>
      <c r="O356" s="110"/>
    </row>
    <row r="357">
      <c r="A357" s="20">
        <v>66360.0</v>
      </c>
      <c r="B357" s="110">
        <v>44060.0</v>
      </c>
      <c r="C357" s="20" t="s">
        <v>229</v>
      </c>
      <c r="D357" s="20" t="s">
        <v>254</v>
      </c>
      <c r="E357" s="23">
        <v>184.0</v>
      </c>
      <c r="O357" s="110"/>
    </row>
    <row r="358">
      <c r="A358" s="20">
        <v>66384.0</v>
      </c>
      <c r="B358" s="110">
        <v>44060.0</v>
      </c>
      <c r="C358" s="20" t="s">
        <v>237</v>
      </c>
      <c r="D358" s="20" t="s">
        <v>244</v>
      </c>
      <c r="E358" s="23">
        <v>423.0</v>
      </c>
      <c r="O358" s="110"/>
    </row>
    <row r="359">
      <c r="A359" s="20">
        <v>66369.0</v>
      </c>
      <c r="B359" s="110">
        <v>44060.0</v>
      </c>
      <c r="C359" s="20" t="s">
        <v>237</v>
      </c>
      <c r="D359" s="20" t="s">
        <v>251</v>
      </c>
      <c r="E359" s="23">
        <v>406.0</v>
      </c>
      <c r="O359" s="110"/>
    </row>
    <row r="360">
      <c r="A360" s="20">
        <v>66369.0</v>
      </c>
      <c r="B360" s="110">
        <v>44060.0</v>
      </c>
      <c r="C360" s="20" t="s">
        <v>237</v>
      </c>
      <c r="D360" s="20" t="s">
        <v>251</v>
      </c>
      <c r="E360" s="23">
        <v>406.0</v>
      </c>
      <c r="O360" s="110"/>
    </row>
    <row r="361">
      <c r="A361" s="20">
        <v>66412.0</v>
      </c>
      <c r="B361" s="110">
        <v>44060.0</v>
      </c>
      <c r="C361" s="20" t="s">
        <v>229</v>
      </c>
      <c r="D361" s="20" t="s">
        <v>253</v>
      </c>
      <c r="E361" s="23">
        <v>345.0</v>
      </c>
      <c r="O361" s="110"/>
    </row>
    <row r="362">
      <c r="A362" s="20">
        <v>66455.0</v>
      </c>
      <c r="B362" s="110">
        <v>44060.0</v>
      </c>
      <c r="C362" s="20" t="s">
        <v>229</v>
      </c>
      <c r="D362" s="20" t="s">
        <v>239</v>
      </c>
      <c r="E362" s="23">
        <v>289.0</v>
      </c>
      <c r="O362" s="110"/>
    </row>
    <row r="363">
      <c r="A363" s="20">
        <v>66430.0</v>
      </c>
      <c r="B363" s="110">
        <v>44064.0</v>
      </c>
      <c r="C363" s="20" t="s">
        <v>237</v>
      </c>
      <c r="D363" s="20" t="s">
        <v>248</v>
      </c>
      <c r="E363" s="23">
        <v>240.0</v>
      </c>
      <c r="O363" s="110"/>
    </row>
    <row r="364">
      <c r="A364" s="20">
        <v>66471.0</v>
      </c>
      <c r="B364" s="110">
        <v>44064.0</v>
      </c>
      <c r="C364" s="20" t="s">
        <v>237</v>
      </c>
      <c r="D364" s="20" t="s">
        <v>230</v>
      </c>
      <c r="E364" s="23">
        <v>325.0</v>
      </c>
      <c r="O364" s="110"/>
    </row>
    <row r="365">
      <c r="A365" s="20">
        <v>66484.0</v>
      </c>
      <c r="B365" s="110">
        <v>44064.0</v>
      </c>
      <c r="C365" s="20" t="s">
        <v>229</v>
      </c>
      <c r="D365" s="20" t="s">
        <v>249</v>
      </c>
      <c r="E365" s="23">
        <v>425.0</v>
      </c>
      <c r="O365" s="110"/>
    </row>
    <row r="366">
      <c r="A366" s="20">
        <v>66468.0</v>
      </c>
      <c r="B366" s="110">
        <v>44064.0</v>
      </c>
      <c r="C366" s="20" t="s">
        <v>229</v>
      </c>
      <c r="D366" s="20" t="s">
        <v>252</v>
      </c>
      <c r="E366" s="23">
        <v>367.0</v>
      </c>
      <c r="O366" s="110"/>
    </row>
    <row r="367">
      <c r="A367" s="20">
        <v>66349.0</v>
      </c>
      <c r="B367" s="110">
        <v>44064.0</v>
      </c>
      <c r="C367" s="20" t="s">
        <v>229</v>
      </c>
      <c r="D367" s="20" t="s">
        <v>250</v>
      </c>
      <c r="E367" s="23">
        <v>403.0</v>
      </c>
      <c r="O367" s="110"/>
    </row>
    <row r="368">
      <c r="A368" s="20">
        <v>66406.0</v>
      </c>
      <c r="B368" s="110">
        <v>44064.0</v>
      </c>
      <c r="C368" s="20" t="s">
        <v>237</v>
      </c>
      <c r="D368" s="20" t="s">
        <v>239</v>
      </c>
      <c r="E368" s="23">
        <v>438.0</v>
      </c>
      <c r="O368" s="110"/>
    </row>
    <row r="369">
      <c r="A369" s="20">
        <v>66428.0</v>
      </c>
      <c r="B369" s="110">
        <v>44064.0</v>
      </c>
      <c r="C369" s="20" t="s">
        <v>237</v>
      </c>
      <c r="D369" s="20" t="s">
        <v>233</v>
      </c>
      <c r="E369" s="23">
        <v>216.0</v>
      </c>
      <c r="O369" s="110"/>
    </row>
    <row r="370">
      <c r="A370" s="20">
        <v>66487.0</v>
      </c>
      <c r="B370" s="110">
        <v>44068.0</v>
      </c>
      <c r="C370" s="20" t="s">
        <v>229</v>
      </c>
      <c r="D370" s="20" t="s">
        <v>246</v>
      </c>
      <c r="E370" s="23">
        <v>180.0</v>
      </c>
      <c r="O370" s="110"/>
    </row>
    <row r="371">
      <c r="A371" s="20">
        <v>66313.0</v>
      </c>
      <c r="B371" s="110">
        <v>44070.0</v>
      </c>
      <c r="C371" s="20" t="s">
        <v>229</v>
      </c>
      <c r="D371" s="20" t="s">
        <v>244</v>
      </c>
      <c r="E371" s="23">
        <v>374.0</v>
      </c>
      <c r="O371" s="110"/>
    </row>
    <row r="372">
      <c r="A372" s="20">
        <v>66375.0</v>
      </c>
      <c r="B372" s="110">
        <v>44071.0</v>
      </c>
      <c r="C372" s="20" t="s">
        <v>229</v>
      </c>
      <c r="D372" s="20" t="s">
        <v>254</v>
      </c>
      <c r="E372" s="23">
        <v>215.0</v>
      </c>
      <c r="O372" s="110"/>
    </row>
    <row r="373">
      <c r="A373" s="20">
        <v>66448.0</v>
      </c>
      <c r="B373" s="110">
        <v>44072.0</v>
      </c>
      <c r="C373" s="20" t="s">
        <v>237</v>
      </c>
      <c r="D373" s="20" t="s">
        <v>233</v>
      </c>
      <c r="E373" s="23">
        <v>245.0</v>
      </c>
      <c r="O373" s="110"/>
    </row>
    <row r="374">
      <c r="A374" s="20">
        <v>66345.0</v>
      </c>
      <c r="B374" s="110">
        <v>44078.0</v>
      </c>
      <c r="C374" s="20" t="s">
        <v>229</v>
      </c>
      <c r="D374" s="20" t="s">
        <v>249</v>
      </c>
      <c r="E374" s="23">
        <v>252.0</v>
      </c>
      <c r="O374" s="110"/>
    </row>
    <row r="375">
      <c r="A375" s="20">
        <v>66467.0</v>
      </c>
      <c r="B375" s="110">
        <v>44078.0</v>
      </c>
      <c r="C375" s="20" t="s">
        <v>229</v>
      </c>
      <c r="D375" s="20" t="s">
        <v>253</v>
      </c>
      <c r="E375" s="23">
        <v>363.0</v>
      </c>
      <c r="O375" s="110"/>
    </row>
    <row r="376">
      <c r="A376" s="20">
        <v>66438.0</v>
      </c>
      <c r="B376" s="110">
        <v>44081.0</v>
      </c>
      <c r="C376" s="20" t="s">
        <v>229</v>
      </c>
      <c r="D376" s="20" t="s">
        <v>249</v>
      </c>
      <c r="E376" s="23">
        <v>344.0</v>
      </c>
      <c r="O376" s="110"/>
    </row>
    <row r="377">
      <c r="A377" s="20">
        <v>66446.0</v>
      </c>
      <c r="B377" s="110">
        <v>44081.0</v>
      </c>
      <c r="C377" s="20" t="s">
        <v>229</v>
      </c>
      <c r="D377" s="20" t="s">
        <v>253</v>
      </c>
      <c r="E377" s="23">
        <v>233.0</v>
      </c>
      <c r="O377" s="110"/>
    </row>
    <row r="378">
      <c r="A378" s="20">
        <v>66395.0</v>
      </c>
      <c r="B378" s="110">
        <v>44082.0</v>
      </c>
      <c r="C378" s="20" t="s">
        <v>237</v>
      </c>
      <c r="D378" s="20" t="s">
        <v>249</v>
      </c>
      <c r="E378" s="23">
        <v>259.0</v>
      </c>
      <c r="O378" s="110"/>
    </row>
    <row r="379">
      <c r="A379" s="20">
        <v>66410.0</v>
      </c>
      <c r="B379" s="110">
        <v>44082.0</v>
      </c>
      <c r="C379" s="20" t="s">
        <v>237</v>
      </c>
      <c r="D379" s="20" t="s">
        <v>253</v>
      </c>
      <c r="E379" s="23">
        <v>288.0</v>
      </c>
      <c r="O379" s="110"/>
    </row>
    <row r="380">
      <c r="A380" s="20">
        <v>66380.0</v>
      </c>
      <c r="B380" s="110">
        <v>44082.0</v>
      </c>
      <c r="C380" s="20" t="s">
        <v>237</v>
      </c>
      <c r="D380" s="20" t="s">
        <v>242</v>
      </c>
      <c r="E380" s="23">
        <v>246.0</v>
      </c>
      <c r="O380" s="110"/>
    </row>
    <row r="381">
      <c r="A381" s="20">
        <v>66412.0</v>
      </c>
      <c r="B381" s="110">
        <v>44083.0</v>
      </c>
      <c r="C381" s="20" t="s">
        <v>229</v>
      </c>
      <c r="D381" s="20" t="s">
        <v>249</v>
      </c>
      <c r="E381" s="23">
        <v>345.0</v>
      </c>
      <c r="O381" s="110"/>
    </row>
    <row r="382">
      <c r="A382" s="20">
        <v>66351.0</v>
      </c>
      <c r="B382" s="110">
        <v>44083.0</v>
      </c>
      <c r="C382" s="20" t="s">
        <v>229</v>
      </c>
      <c r="D382" s="20" t="s">
        <v>253</v>
      </c>
      <c r="E382" s="23">
        <v>266.0</v>
      </c>
      <c r="O382" s="110"/>
    </row>
    <row r="383">
      <c r="A383" s="20">
        <v>66401.0</v>
      </c>
      <c r="B383" s="110">
        <v>44085.0</v>
      </c>
      <c r="C383" s="20" t="s">
        <v>229</v>
      </c>
      <c r="D383" s="20" t="s">
        <v>253</v>
      </c>
      <c r="E383" s="23">
        <v>250.0</v>
      </c>
      <c r="O383" s="110"/>
    </row>
    <row r="384">
      <c r="A384" s="20">
        <v>66469.0</v>
      </c>
      <c r="B384" s="110">
        <v>44085.0</v>
      </c>
      <c r="C384" s="20" t="s">
        <v>229</v>
      </c>
      <c r="D384" s="20" t="s">
        <v>242</v>
      </c>
      <c r="E384" s="23">
        <v>227.0</v>
      </c>
      <c r="O384" s="110"/>
    </row>
    <row r="385">
      <c r="A385" s="20">
        <v>66334.0</v>
      </c>
      <c r="B385" s="110">
        <v>44085.0</v>
      </c>
      <c r="C385" s="20" t="s">
        <v>237</v>
      </c>
      <c r="D385" s="20" t="s">
        <v>253</v>
      </c>
      <c r="E385" s="23">
        <v>423.0</v>
      </c>
      <c r="O385" s="110"/>
    </row>
    <row r="386">
      <c r="A386" s="20">
        <v>66320.0</v>
      </c>
      <c r="B386" s="110">
        <v>44085.0</v>
      </c>
      <c r="C386" s="20" t="s">
        <v>237</v>
      </c>
      <c r="D386" s="20" t="s">
        <v>242</v>
      </c>
      <c r="E386" s="23">
        <v>305.0</v>
      </c>
      <c r="O386" s="110"/>
    </row>
    <row r="387">
      <c r="A387" s="20">
        <v>66448.0</v>
      </c>
      <c r="B387" s="110">
        <v>44085.0</v>
      </c>
      <c r="C387" s="20" t="s">
        <v>237</v>
      </c>
      <c r="D387" s="20" t="s">
        <v>250</v>
      </c>
      <c r="E387" s="23">
        <v>245.0</v>
      </c>
      <c r="O387" s="110"/>
    </row>
    <row r="388">
      <c r="A388" s="20">
        <v>66306.0</v>
      </c>
      <c r="B388" s="110">
        <v>44085.0</v>
      </c>
      <c r="C388" s="20" t="s">
        <v>229</v>
      </c>
      <c r="D388" s="20" t="s">
        <v>253</v>
      </c>
      <c r="E388" s="23">
        <v>383.0</v>
      </c>
      <c r="O388" s="110"/>
    </row>
    <row r="389">
      <c r="A389" s="20">
        <v>66350.0</v>
      </c>
      <c r="B389" s="110">
        <v>44085.0</v>
      </c>
      <c r="C389" s="20" t="s">
        <v>229</v>
      </c>
      <c r="D389" s="20" t="s">
        <v>242</v>
      </c>
      <c r="E389" s="23">
        <v>173.0</v>
      </c>
      <c r="O389" s="110"/>
    </row>
    <row r="390">
      <c r="A390" s="20">
        <v>66311.0</v>
      </c>
      <c r="B390" s="110">
        <v>44087.0</v>
      </c>
      <c r="C390" s="20" t="s">
        <v>229</v>
      </c>
      <c r="D390" s="20" t="s">
        <v>249</v>
      </c>
      <c r="E390" s="23">
        <v>333.0</v>
      </c>
      <c r="O390" s="110"/>
    </row>
    <row r="391">
      <c r="A391" s="20">
        <v>66354.0</v>
      </c>
      <c r="B391" s="110">
        <v>44087.0</v>
      </c>
      <c r="C391" s="20" t="s">
        <v>229</v>
      </c>
      <c r="D391" s="20" t="s">
        <v>253</v>
      </c>
      <c r="E391" s="23">
        <v>414.0</v>
      </c>
      <c r="O391" s="110"/>
    </row>
    <row r="392">
      <c r="A392" s="20">
        <v>66321.0</v>
      </c>
      <c r="B392" s="110">
        <v>44088.0</v>
      </c>
      <c r="C392" s="20" t="s">
        <v>237</v>
      </c>
      <c r="D392" s="20" t="s">
        <v>249</v>
      </c>
      <c r="E392" s="23">
        <v>346.0</v>
      </c>
      <c r="O392" s="110"/>
    </row>
    <row r="393">
      <c r="A393" s="20">
        <v>66492.0</v>
      </c>
      <c r="B393" s="110">
        <v>44088.0</v>
      </c>
      <c r="C393" s="20" t="s">
        <v>237</v>
      </c>
      <c r="D393" s="20" t="s">
        <v>253</v>
      </c>
      <c r="E393" s="23">
        <v>223.0</v>
      </c>
      <c r="O393" s="110"/>
    </row>
    <row r="394">
      <c r="A394" s="20">
        <v>66347.0</v>
      </c>
      <c r="B394" s="110">
        <v>44088.0</v>
      </c>
      <c r="C394" s="20" t="s">
        <v>237</v>
      </c>
      <c r="D394" s="20" t="s">
        <v>242</v>
      </c>
      <c r="E394" s="23">
        <v>432.0</v>
      </c>
      <c r="O394" s="110"/>
    </row>
    <row r="395">
      <c r="A395" s="20">
        <v>66463.0</v>
      </c>
      <c r="B395" s="110">
        <v>44089.0</v>
      </c>
      <c r="C395" s="20" t="s">
        <v>237</v>
      </c>
      <c r="D395" s="20" t="s">
        <v>249</v>
      </c>
      <c r="E395" s="23">
        <v>403.0</v>
      </c>
      <c r="O395" s="110"/>
    </row>
    <row r="396">
      <c r="A396" s="20">
        <v>66416.0</v>
      </c>
      <c r="B396" s="110">
        <v>44089.0</v>
      </c>
      <c r="C396" s="20" t="s">
        <v>237</v>
      </c>
      <c r="D396" s="20" t="s">
        <v>253</v>
      </c>
      <c r="E396" s="23">
        <v>409.0</v>
      </c>
      <c r="O396" s="110"/>
    </row>
    <row r="397">
      <c r="A397" s="20">
        <v>66498.0</v>
      </c>
      <c r="B397" s="110">
        <v>44089.0</v>
      </c>
      <c r="C397" s="20" t="s">
        <v>229</v>
      </c>
      <c r="D397" s="20" t="s">
        <v>249</v>
      </c>
      <c r="E397" s="23">
        <v>365.0</v>
      </c>
      <c r="O397" s="110"/>
    </row>
    <row r="398">
      <c r="A398" s="20">
        <v>66487.0</v>
      </c>
      <c r="B398" s="110">
        <v>44089.0</v>
      </c>
      <c r="C398" s="20" t="s">
        <v>229</v>
      </c>
      <c r="D398" s="20" t="s">
        <v>253</v>
      </c>
      <c r="E398" s="23">
        <v>180.0</v>
      </c>
      <c r="O398" s="110"/>
    </row>
    <row r="399">
      <c r="A399" s="20">
        <v>66391.0</v>
      </c>
      <c r="B399" s="110">
        <v>44089.0</v>
      </c>
      <c r="C399" s="20" t="s">
        <v>229</v>
      </c>
      <c r="D399" s="20" t="s">
        <v>242</v>
      </c>
      <c r="E399" s="23">
        <v>196.0</v>
      </c>
      <c r="O399" s="110"/>
    </row>
    <row r="400">
      <c r="A400" s="20">
        <v>66496.0</v>
      </c>
      <c r="B400" s="110">
        <v>44089.0</v>
      </c>
      <c r="C400" s="20" t="s">
        <v>237</v>
      </c>
      <c r="D400" s="20" t="s">
        <v>250</v>
      </c>
      <c r="E400" s="23">
        <v>235.0</v>
      </c>
      <c r="O400" s="110"/>
    </row>
    <row r="401">
      <c r="A401" s="20">
        <v>66449.0</v>
      </c>
      <c r="B401" s="110">
        <v>44089.0</v>
      </c>
      <c r="C401" s="20" t="s">
        <v>237</v>
      </c>
      <c r="D401" s="20" t="s">
        <v>249</v>
      </c>
      <c r="E401" s="23">
        <v>300.0</v>
      </c>
      <c r="O401" s="110"/>
    </row>
    <row r="402">
      <c r="A402" s="20">
        <v>66382.0</v>
      </c>
      <c r="B402" s="110">
        <v>44091.0</v>
      </c>
      <c r="C402" s="20" t="s">
        <v>229</v>
      </c>
      <c r="D402" s="20" t="s">
        <v>253</v>
      </c>
      <c r="E402" s="23">
        <v>222.0</v>
      </c>
      <c r="O402" s="110"/>
    </row>
    <row r="403">
      <c r="A403" s="20">
        <v>66374.0</v>
      </c>
      <c r="B403" s="110">
        <v>44091.0</v>
      </c>
      <c r="C403" s="20" t="s">
        <v>229</v>
      </c>
      <c r="D403" s="20" t="s">
        <v>242</v>
      </c>
      <c r="E403" s="23">
        <v>179.0</v>
      </c>
      <c r="O403" s="110"/>
    </row>
    <row r="404">
      <c r="A404" s="20">
        <v>66466.0</v>
      </c>
      <c r="B404" s="110">
        <v>44091.0</v>
      </c>
      <c r="C404" s="20" t="s">
        <v>237</v>
      </c>
      <c r="D404" s="20" t="s">
        <v>253</v>
      </c>
      <c r="E404" s="23">
        <v>345.0</v>
      </c>
      <c r="O404" s="110"/>
    </row>
    <row r="405">
      <c r="A405" s="20">
        <v>66454.0</v>
      </c>
      <c r="B405" s="110">
        <v>44091.0</v>
      </c>
      <c r="C405" s="20" t="s">
        <v>237</v>
      </c>
      <c r="D405" s="20" t="s">
        <v>242</v>
      </c>
      <c r="E405" s="23">
        <v>430.0</v>
      </c>
      <c r="O405" s="110"/>
    </row>
    <row r="406">
      <c r="A406" s="20">
        <v>66425.0</v>
      </c>
      <c r="B406" s="110">
        <v>44091.0</v>
      </c>
      <c r="C406" s="20" t="s">
        <v>237</v>
      </c>
      <c r="D406" s="20" t="s">
        <v>250</v>
      </c>
      <c r="E406" s="23">
        <v>342.0</v>
      </c>
      <c r="O406" s="110"/>
    </row>
    <row r="407">
      <c r="A407" s="20">
        <v>66467.0</v>
      </c>
      <c r="B407" s="110">
        <v>44091.0</v>
      </c>
      <c r="C407" s="20" t="s">
        <v>229</v>
      </c>
      <c r="D407" s="20" t="s">
        <v>253</v>
      </c>
      <c r="E407" s="23">
        <v>363.0</v>
      </c>
      <c r="O407" s="110"/>
    </row>
    <row r="408">
      <c r="A408" s="20">
        <v>66320.0</v>
      </c>
      <c r="B408" s="110">
        <v>44091.0</v>
      </c>
      <c r="C408" s="20" t="s">
        <v>229</v>
      </c>
      <c r="D408" s="20" t="s">
        <v>242</v>
      </c>
      <c r="E408" s="23">
        <v>305.0</v>
      </c>
      <c r="O408" s="110"/>
    </row>
    <row r="409">
      <c r="A409" s="20">
        <v>66364.0</v>
      </c>
      <c r="B409" s="110">
        <v>44095.0</v>
      </c>
      <c r="C409" s="20" t="s">
        <v>237</v>
      </c>
      <c r="D409" s="20" t="s">
        <v>249</v>
      </c>
      <c r="E409" s="23">
        <v>273.0</v>
      </c>
      <c r="O409" s="110"/>
    </row>
    <row r="410">
      <c r="A410" s="20">
        <v>66390.0</v>
      </c>
      <c r="B410" s="110">
        <v>44095.0</v>
      </c>
      <c r="C410" s="20" t="s">
        <v>237</v>
      </c>
      <c r="D410" s="20" t="s">
        <v>253</v>
      </c>
      <c r="E410" s="23">
        <v>200.0</v>
      </c>
      <c r="O410" s="110"/>
    </row>
    <row r="411">
      <c r="A411" s="20">
        <v>66473.0</v>
      </c>
      <c r="B411" s="110">
        <v>44095.0</v>
      </c>
      <c r="C411" s="20" t="s">
        <v>229</v>
      </c>
      <c r="D411" s="20" t="s">
        <v>249</v>
      </c>
      <c r="E411" s="23">
        <v>382.0</v>
      </c>
      <c r="O411" s="110"/>
    </row>
    <row r="412">
      <c r="A412" s="20">
        <v>66313.0</v>
      </c>
      <c r="B412" s="110">
        <v>44095.0</v>
      </c>
      <c r="C412" s="20" t="s">
        <v>229</v>
      </c>
      <c r="D412" s="20" t="s">
        <v>253</v>
      </c>
      <c r="E412" s="23">
        <v>374.0</v>
      </c>
      <c r="O412" s="110"/>
    </row>
    <row r="413">
      <c r="A413" s="20">
        <v>66359.0</v>
      </c>
      <c r="B413" s="110">
        <v>44095.0</v>
      </c>
      <c r="C413" s="20" t="s">
        <v>229</v>
      </c>
      <c r="D413" s="20" t="s">
        <v>242</v>
      </c>
      <c r="E413" s="23">
        <v>353.0</v>
      </c>
      <c r="O413" s="110"/>
    </row>
    <row r="414">
      <c r="A414" s="20">
        <v>66332.0</v>
      </c>
      <c r="B414" s="110">
        <v>44095.0</v>
      </c>
      <c r="C414" s="20" t="s">
        <v>237</v>
      </c>
      <c r="D414" s="20" t="s">
        <v>250</v>
      </c>
      <c r="E414" s="23">
        <v>230.0</v>
      </c>
      <c r="O414" s="110"/>
    </row>
    <row r="415">
      <c r="A415" s="20">
        <v>66391.0</v>
      </c>
      <c r="B415" s="110">
        <v>44095.0</v>
      </c>
      <c r="C415" s="20" t="s">
        <v>237</v>
      </c>
      <c r="D415" s="20" t="s">
        <v>249</v>
      </c>
      <c r="E415" s="23">
        <v>196.0</v>
      </c>
      <c r="O415" s="110"/>
    </row>
    <row r="416">
      <c r="A416" s="20">
        <v>66030.0</v>
      </c>
      <c r="B416" s="110">
        <v>44108.0</v>
      </c>
      <c r="C416" s="20" t="s">
        <v>229</v>
      </c>
      <c r="D416" s="20" t="s">
        <v>249</v>
      </c>
      <c r="E416" s="23">
        <v>120.0</v>
      </c>
      <c r="O416" s="110"/>
    </row>
    <row r="417">
      <c r="A417" s="20">
        <v>66030.0</v>
      </c>
      <c r="B417" s="110">
        <v>44108.0</v>
      </c>
      <c r="C417" s="20" t="s">
        <v>229</v>
      </c>
      <c r="D417" s="20" t="s">
        <v>253</v>
      </c>
      <c r="E417" s="23">
        <v>120.0</v>
      </c>
      <c r="O417" s="110"/>
    </row>
    <row r="418">
      <c r="A418" s="20">
        <v>66032.0</v>
      </c>
      <c r="B418" s="110">
        <v>44111.0</v>
      </c>
      <c r="C418" s="20" t="s">
        <v>229</v>
      </c>
      <c r="D418" s="20" t="s">
        <v>249</v>
      </c>
      <c r="E418" s="23">
        <v>170.0</v>
      </c>
      <c r="O418" s="110"/>
    </row>
    <row r="419">
      <c r="A419" s="20">
        <v>66032.0</v>
      </c>
      <c r="B419" s="110">
        <v>44111.0</v>
      </c>
      <c r="C419" s="20" t="s">
        <v>229</v>
      </c>
      <c r="D419" s="20" t="s">
        <v>253</v>
      </c>
      <c r="E419" s="23">
        <v>170.0</v>
      </c>
      <c r="O419" s="110"/>
    </row>
    <row r="420">
      <c r="A420" s="20">
        <v>66031.0</v>
      </c>
      <c r="B420" s="110">
        <v>44112.0</v>
      </c>
      <c r="C420" s="20" t="s">
        <v>237</v>
      </c>
      <c r="D420" s="20" t="s">
        <v>249</v>
      </c>
      <c r="E420" s="23">
        <v>140.0</v>
      </c>
      <c r="O420" s="110"/>
    </row>
    <row r="421">
      <c r="A421" s="20">
        <v>66031.0</v>
      </c>
      <c r="B421" s="110">
        <v>44112.0</v>
      </c>
      <c r="C421" s="20" t="s">
        <v>237</v>
      </c>
      <c r="D421" s="20" t="s">
        <v>253</v>
      </c>
      <c r="E421" s="23">
        <v>140.0</v>
      </c>
      <c r="O421" s="110"/>
    </row>
    <row r="422">
      <c r="A422" s="20">
        <v>66031.0</v>
      </c>
      <c r="B422" s="110">
        <v>44112.0</v>
      </c>
      <c r="C422" s="20" t="s">
        <v>237</v>
      </c>
      <c r="D422" s="20" t="s">
        <v>242</v>
      </c>
      <c r="E422" s="23">
        <v>140.0</v>
      </c>
      <c r="O422" s="110"/>
    </row>
    <row r="423">
      <c r="A423" s="20">
        <v>66015.0</v>
      </c>
      <c r="B423" s="110">
        <v>44114.0</v>
      </c>
      <c r="C423" s="20" t="s">
        <v>229</v>
      </c>
      <c r="D423" s="20" t="s">
        <v>249</v>
      </c>
      <c r="E423" s="23">
        <v>140.0</v>
      </c>
      <c r="O423" s="110"/>
    </row>
    <row r="424">
      <c r="A424" s="20">
        <v>66015.0</v>
      </c>
      <c r="B424" s="110">
        <v>44114.0</v>
      </c>
      <c r="C424" s="20" t="s">
        <v>229</v>
      </c>
      <c r="D424" s="20" t="s">
        <v>253</v>
      </c>
      <c r="E424" s="23">
        <v>140.0</v>
      </c>
      <c r="O424" s="110"/>
    </row>
    <row r="425">
      <c r="A425" s="20">
        <v>68112.0</v>
      </c>
      <c r="B425" s="110">
        <v>44115.0</v>
      </c>
      <c r="C425" s="20" t="s">
        <v>229</v>
      </c>
      <c r="D425" s="20" t="s">
        <v>253</v>
      </c>
      <c r="E425" s="23">
        <v>180.0</v>
      </c>
      <c r="O425" s="110"/>
    </row>
    <row r="426">
      <c r="A426" s="20">
        <v>68112.0</v>
      </c>
      <c r="B426" s="110">
        <v>44115.0</v>
      </c>
      <c r="C426" s="20" t="s">
        <v>229</v>
      </c>
      <c r="D426" s="20" t="s">
        <v>242</v>
      </c>
      <c r="E426" s="23">
        <v>180.0</v>
      </c>
      <c r="O426" s="110"/>
    </row>
    <row r="427">
      <c r="A427" s="20">
        <v>68116.0</v>
      </c>
      <c r="B427" s="110">
        <v>44115.0</v>
      </c>
      <c r="C427" s="20" t="s">
        <v>237</v>
      </c>
      <c r="D427" s="20" t="s">
        <v>253</v>
      </c>
      <c r="E427" s="23">
        <v>150.0</v>
      </c>
      <c r="O427" s="110"/>
    </row>
    <row r="428">
      <c r="A428" s="20">
        <v>68116.0</v>
      </c>
      <c r="B428" s="110">
        <v>44115.0</v>
      </c>
      <c r="C428" s="20" t="s">
        <v>237</v>
      </c>
      <c r="D428" s="20" t="s">
        <v>242</v>
      </c>
      <c r="E428" s="23">
        <v>150.0</v>
      </c>
      <c r="O428" s="110"/>
    </row>
    <row r="429">
      <c r="A429" s="20">
        <v>68116.0</v>
      </c>
      <c r="B429" s="110">
        <v>44115.0</v>
      </c>
      <c r="C429" s="20" t="s">
        <v>237</v>
      </c>
      <c r="D429" s="20" t="s">
        <v>250</v>
      </c>
      <c r="E429" s="23">
        <v>150.0</v>
      </c>
      <c r="O429" s="110"/>
    </row>
    <row r="430">
      <c r="A430" s="20">
        <v>68116.0</v>
      </c>
      <c r="B430" s="110">
        <v>44115.0</v>
      </c>
      <c r="C430" s="20" t="s">
        <v>229</v>
      </c>
      <c r="D430" s="20" t="s">
        <v>253</v>
      </c>
      <c r="E430" s="23">
        <v>150.0</v>
      </c>
      <c r="O430" s="110"/>
    </row>
    <row r="431">
      <c r="A431" s="20">
        <v>68116.0</v>
      </c>
      <c r="B431" s="110">
        <v>44115.0</v>
      </c>
      <c r="C431" s="20" t="s">
        <v>229</v>
      </c>
      <c r="D431" s="20" t="s">
        <v>242</v>
      </c>
      <c r="E431" s="23">
        <v>150.0</v>
      </c>
      <c r="O431" s="110"/>
    </row>
    <row r="432">
      <c r="A432" s="20">
        <v>66017.0</v>
      </c>
      <c r="B432" s="110">
        <v>44117.0</v>
      </c>
      <c r="C432" s="20" t="s">
        <v>229</v>
      </c>
      <c r="D432" s="20" t="s">
        <v>249</v>
      </c>
      <c r="E432" s="23">
        <v>140.0</v>
      </c>
      <c r="O432" s="110"/>
    </row>
    <row r="433">
      <c r="A433" s="20">
        <v>66017.0</v>
      </c>
      <c r="B433" s="110">
        <v>44117.0</v>
      </c>
      <c r="C433" s="20" t="s">
        <v>229</v>
      </c>
      <c r="D433" s="20" t="s">
        <v>253</v>
      </c>
      <c r="E433" s="23">
        <v>140.0</v>
      </c>
      <c r="O433" s="110"/>
    </row>
    <row r="434">
      <c r="A434" s="20">
        <v>66016.0</v>
      </c>
      <c r="B434" s="110">
        <v>44118.0</v>
      </c>
      <c r="C434" s="20" t="s">
        <v>237</v>
      </c>
      <c r="D434" s="20" t="s">
        <v>249</v>
      </c>
      <c r="E434" s="23">
        <v>120.0</v>
      </c>
      <c r="O434" s="110"/>
    </row>
    <row r="435">
      <c r="A435" s="20">
        <v>66016.0</v>
      </c>
      <c r="B435" s="110">
        <v>44118.0</v>
      </c>
      <c r="C435" s="20" t="s">
        <v>237</v>
      </c>
      <c r="D435" s="20" t="s">
        <v>253</v>
      </c>
      <c r="E435" s="23">
        <v>120.0</v>
      </c>
      <c r="O435" s="110"/>
    </row>
    <row r="436">
      <c r="A436" s="20">
        <v>66016.0</v>
      </c>
      <c r="B436" s="110">
        <v>44118.0</v>
      </c>
      <c r="C436" s="20" t="s">
        <v>237</v>
      </c>
      <c r="D436" s="20" t="s">
        <v>242</v>
      </c>
      <c r="E436" s="23">
        <v>120.0</v>
      </c>
      <c r="O436" s="110"/>
    </row>
    <row r="437">
      <c r="A437" s="20">
        <v>65662.0</v>
      </c>
      <c r="B437" s="110">
        <v>44119.0</v>
      </c>
      <c r="C437" s="20" t="s">
        <v>237</v>
      </c>
      <c r="D437" s="20" t="s">
        <v>249</v>
      </c>
      <c r="E437" s="23">
        <v>120.0</v>
      </c>
      <c r="O437" s="110"/>
    </row>
    <row r="438">
      <c r="A438" s="20">
        <v>65662.0</v>
      </c>
      <c r="B438" s="110">
        <v>44119.0</v>
      </c>
      <c r="C438" s="20" t="s">
        <v>237</v>
      </c>
      <c r="D438" s="20" t="s">
        <v>253</v>
      </c>
      <c r="E438" s="23">
        <v>120.0</v>
      </c>
      <c r="O438" s="110"/>
    </row>
    <row r="439">
      <c r="A439" s="20">
        <v>65666.0</v>
      </c>
      <c r="B439" s="110">
        <v>44119.0</v>
      </c>
      <c r="C439" s="20" t="s">
        <v>229</v>
      </c>
      <c r="D439" s="20" t="s">
        <v>249</v>
      </c>
      <c r="E439" s="23">
        <v>120.0</v>
      </c>
      <c r="O439" s="110"/>
    </row>
    <row r="440">
      <c r="A440" s="20">
        <v>65666.0</v>
      </c>
      <c r="B440" s="110">
        <v>44119.0</v>
      </c>
      <c r="C440" s="20" t="s">
        <v>229</v>
      </c>
      <c r="D440" s="20" t="s">
        <v>253</v>
      </c>
      <c r="E440" s="23">
        <v>120.0</v>
      </c>
      <c r="O440" s="110"/>
    </row>
    <row r="441">
      <c r="A441" s="20">
        <v>65666.0</v>
      </c>
      <c r="B441" s="110">
        <v>44119.0</v>
      </c>
      <c r="C441" s="20" t="s">
        <v>229</v>
      </c>
      <c r="D441" s="20" t="s">
        <v>242</v>
      </c>
      <c r="E441" s="23">
        <v>120.0</v>
      </c>
      <c r="O441" s="110"/>
    </row>
    <row r="442">
      <c r="A442" s="20">
        <v>65666.0</v>
      </c>
      <c r="B442" s="110">
        <v>44119.0</v>
      </c>
      <c r="C442" s="20" t="s">
        <v>237</v>
      </c>
      <c r="D442" s="20" t="s">
        <v>250</v>
      </c>
      <c r="E442" s="23">
        <v>120.0</v>
      </c>
      <c r="O442" s="110"/>
    </row>
    <row r="443">
      <c r="A443" s="20">
        <v>65666.0</v>
      </c>
      <c r="B443" s="110">
        <v>44119.0</v>
      </c>
      <c r="C443" s="20" t="s">
        <v>237</v>
      </c>
      <c r="D443" s="20" t="s">
        <v>249</v>
      </c>
      <c r="E443" s="23">
        <v>120.0</v>
      </c>
      <c r="O443" s="110"/>
    </row>
    <row r="444">
      <c r="A444" s="20">
        <v>68097.0</v>
      </c>
      <c r="B444" s="110">
        <v>44121.0</v>
      </c>
      <c r="C444" s="20" t="s">
        <v>229</v>
      </c>
      <c r="D444" s="20" t="s">
        <v>253</v>
      </c>
      <c r="E444" s="23">
        <v>140.0</v>
      </c>
      <c r="O444" s="110"/>
    </row>
    <row r="445">
      <c r="A445" s="20">
        <v>68097.0</v>
      </c>
      <c r="B445" s="110">
        <v>44121.0</v>
      </c>
      <c r="C445" s="20" t="s">
        <v>229</v>
      </c>
      <c r="D445" s="20" t="s">
        <v>242</v>
      </c>
      <c r="E445" s="23">
        <v>140.0</v>
      </c>
      <c r="O445" s="110"/>
    </row>
    <row r="446">
      <c r="A446" s="20">
        <v>68099.0</v>
      </c>
      <c r="B446" s="110">
        <v>44121.0</v>
      </c>
      <c r="C446" s="20" t="s">
        <v>237</v>
      </c>
      <c r="D446" s="20" t="s">
        <v>253</v>
      </c>
      <c r="E446" s="23">
        <v>120.0</v>
      </c>
      <c r="O446" s="110"/>
    </row>
    <row r="447">
      <c r="A447" s="20">
        <v>68099.0</v>
      </c>
      <c r="B447" s="110">
        <v>44121.0</v>
      </c>
      <c r="C447" s="20" t="s">
        <v>237</v>
      </c>
      <c r="D447" s="20" t="s">
        <v>242</v>
      </c>
      <c r="E447" s="23">
        <v>120.0</v>
      </c>
      <c r="O447" s="110"/>
    </row>
    <row r="448">
      <c r="A448" s="20">
        <v>68099.0</v>
      </c>
      <c r="B448" s="110">
        <v>44121.0</v>
      </c>
      <c r="C448" s="20" t="s">
        <v>237</v>
      </c>
      <c r="D448" s="20" t="s">
        <v>250</v>
      </c>
      <c r="E448" s="23">
        <v>120.0</v>
      </c>
      <c r="O448" s="110"/>
    </row>
    <row r="449">
      <c r="A449" s="20">
        <v>68101.0</v>
      </c>
      <c r="B449" s="110">
        <v>44121.0</v>
      </c>
      <c r="C449" s="20" t="s">
        <v>229</v>
      </c>
      <c r="D449" s="20" t="s">
        <v>253</v>
      </c>
      <c r="E449" s="23">
        <v>190.0</v>
      </c>
      <c r="O449" s="110"/>
    </row>
    <row r="450">
      <c r="A450" s="20">
        <v>68101.0</v>
      </c>
      <c r="B450" s="110">
        <v>44121.0</v>
      </c>
      <c r="C450" s="20" t="s">
        <v>229</v>
      </c>
      <c r="D450" s="20" t="s">
        <v>242</v>
      </c>
      <c r="E450" s="23">
        <v>190.0</v>
      </c>
      <c r="O450" s="110"/>
    </row>
    <row r="451">
      <c r="A451" s="20">
        <v>65627.0</v>
      </c>
      <c r="B451" s="110">
        <v>44125.0</v>
      </c>
      <c r="C451" s="20" t="s">
        <v>237</v>
      </c>
      <c r="D451" s="20" t="s">
        <v>249</v>
      </c>
      <c r="E451" s="23">
        <v>140.0</v>
      </c>
      <c r="O451" s="110"/>
    </row>
    <row r="452">
      <c r="A452" s="20">
        <v>65627.0</v>
      </c>
      <c r="B452" s="110">
        <v>44125.0</v>
      </c>
      <c r="C452" s="20" t="s">
        <v>237</v>
      </c>
      <c r="D452" s="20" t="s">
        <v>253</v>
      </c>
      <c r="E452" s="23">
        <v>140.0</v>
      </c>
      <c r="O452" s="110"/>
    </row>
    <row r="453">
      <c r="A453" s="20">
        <v>65629.0</v>
      </c>
      <c r="B453" s="110">
        <v>44125.0</v>
      </c>
      <c r="C453" s="20" t="s">
        <v>229</v>
      </c>
      <c r="D453" s="20" t="s">
        <v>249</v>
      </c>
      <c r="E453" s="23">
        <v>190.0</v>
      </c>
      <c r="O453" s="110"/>
    </row>
    <row r="454">
      <c r="A454" s="20">
        <v>65629.0</v>
      </c>
      <c r="B454" s="110">
        <v>44125.0</v>
      </c>
      <c r="C454" s="20" t="s">
        <v>229</v>
      </c>
      <c r="D454" s="20" t="s">
        <v>253</v>
      </c>
      <c r="E454" s="23">
        <v>190.0</v>
      </c>
      <c r="O454" s="110"/>
    </row>
    <row r="455">
      <c r="A455" s="20">
        <v>65629.0</v>
      </c>
      <c r="B455" s="110">
        <v>44125.0</v>
      </c>
      <c r="C455" s="20" t="s">
        <v>229</v>
      </c>
      <c r="D455" s="20" t="s">
        <v>242</v>
      </c>
      <c r="E455" s="23">
        <v>190.0</v>
      </c>
      <c r="O455" s="110"/>
    </row>
    <row r="456">
      <c r="A456" s="20">
        <v>65631.0</v>
      </c>
      <c r="B456" s="110">
        <v>44125.0</v>
      </c>
      <c r="C456" s="20" t="s">
        <v>237</v>
      </c>
      <c r="D456" s="20" t="s">
        <v>250</v>
      </c>
      <c r="E456" s="23">
        <v>190.0</v>
      </c>
      <c r="O456" s="110"/>
    </row>
    <row r="457">
      <c r="A457" s="20">
        <v>65631.0</v>
      </c>
      <c r="B457" s="110">
        <v>44125.0</v>
      </c>
      <c r="C457" s="20" t="s">
        <v>237</v>
      </c>
      <c r="D457" s="20" t="s">
        <v>249</v>
      </c>
      <c r="E457" s="23">
        <v>190.0</v>
      </c>
      <c r="O457" s="110"/>
    </row>
    <row r="458">
      <c r="A458" s="20">
        <v>71209.0</v>
      </c>
      <c r="B458" s="110">
        <v>44139.0</v>
      </c>
      <c r="C458" s="20" t="s">
        <v>229</v>
      </c>
      <c r="D458" s="20" t="s">
        <v>249</v>
      </c>
      <c r="E458" s="23">
        <v>120.0</v>
      </c>
      <c r="O458" s="110"/>
    </row>
    <row r="459">
      <c r="A459" s="20">
        <v>71211.0</v>
      </c>
      <c r="B459" s="110">
        <v>44139.0</v>
      </c>
      <c r="C459" s="20" t="s">
        <v>229</v>
      </c>
      <c r="D459" s="20" t="s">
        <v>253</v>
      </c>
      <c r="E459" s="23">
        <v>150.0</v>
      </c>
      <c r="O459" s="110"/>
    </row>
    <row r="460">
      <c r="A460" s="20">
        <v>71222.0</v>
      </c>
      <c r="B460" s="110">
        <v>44142.0</v>
      </c>
      <c r="C460" s="20" t="s">
        <v>229</v>
      </c>
      <c r="D460" s="20" t="s">
        <v>249</v>
      </c>
      <c r="E460" s="23">
        <v>170.0</v>
      </c>
      <c r="O460" s="110"/>
    </row>
    <row r="461">
      <c r="A461" s="20">
        <v>71271.0</v>
      </c>
      <c r="B461" s="110">
        <v>44142.0</v>
      </c>
      <c r="C461" s="20" t="s">
        <v>229</v>
      </c>
      <c r="D461" s="20" t="s">
        <v>253</v>
      </c>
      <c r="E461" s="23">
        <v>140.0</v>
      </c>
      <c r="O461" s="110"/>
    </row>
    <row r="462">
      <c r="A462" s="20">
        <v>71217.0</v>
      </c>
      <c r="B462" s="110">
        <v>44142.0</v>
      </c>
      <c r="C462" s="20" t="s">
        <v>257</v>
      </c>
      <c r="D462" s="20" t="s">
        <v>238</v>
      </c>
      <c r="E462" s="23">
        <v>140.0</v>
      </c>
      <c r="O462" s="110"/>
    </row>
    <row r="463">
      <c r="A463" s="20">
        <v>71282.0</v>
      </c>
      <c r="B463" s="110">
        <v>44142.0</v>
      </c>
      <c r="C463" s="20" t="s">
        <v>257</v>
      </c>
      <c r="D463" s="20" t="s">
        <v>253</v>
      </c>
      <c r="E463" s="23">
        <v>231.0</v>
      </c>
      <c r="O463" s="110"/>
    </row>
    <row r="464">
      <c r="A464" s="20">
        <v>71224.0</v>
      </c>
      <c r="B464" s="110">
        <v>44142.0</v>
      </c>
      <c r="C464" s="20" t="s">
        <v>257</v>
      </c>
      <c r="D464" s="20" t="s">
        <v>242</v>
      </c>
      <c r="E464" s="23">
        <v>334.0</v>
      </c>
      <c r="O464" s="110"/>
    </row>
    <row r="465">
      <c r="A465" s="20">
        <v>71208.0</v>
      </c>
      <c r="B465" s="110">
        <v>44142.0</v>
      </c>
      <c r="C465" s="20" t="s">
        <v>257</v>
      </c>
      <c r="D465" s="20" t="s">
        <v>250</v>
      </c>
      <c r="E465" s="23">
        <v>371.0</v>
      </c>
      <c r="O465" s="110"/>
    </row>
    <row r="466">
      <c r="A466" s="20">
        <v>71205.0</v>
      </c>
      <c r="B466" s="110">
        <v>44143.0</v>
      </c>
      <c r="C466" s="20" t="s">
        <v>237</v>
      </c>
      <c r="D466" s="20" t="s">
        <v>249</v>
      </c>
      <c r="E466" s="23">
        <v>140.0</v>
      </c>
      <c r="O466" s="110"/>
    </row>
    <row r="467">
      <c r="A467" s="20">
        <v>71296.0</v>
      </c>
      <c r="B467" s="110">
        <v>44143.0</v>
      </c>
      <c r="C467" s="20" t="s">
        <v>237</v>
      </c>
      <c r="D467" s="20" t="s">
        <v>253</v>
      </c>
      <c r="E467" s="23">
        <v>150.0</v>
      </c>
      <c r="O467" s="110"/>
    </row>
    <row r="468">
      <c r="A468" s="20">
        <v>71223.0</v>
      </c>
      <c r="B468" s="110">
        <v>44143.0</v>
      </c>
      <c r="C468" s="20" t="s">
        <v>237</v>
      </c>
      <c r="D468" s="20" t="s">
        <v>242</v>
      </c>
      <c r="E468" s="23">
        <v>100.0</v>
      </c>
      <c r="O468" s="110"/>
    </row>
    <row r="469">
      <c r="A469" s="20">
        <v>71234.0</v>
      </c>
      <c r="B469" s="110">
        <v>44146.0</v>
      </c>
      <c r="C469" s="20" t="s">
        <v>229</v>
      </c>
      <c r="D469" s="20" t="s">
        <v>253</v>
      </c>
      <c r="E469" s="23">
        <v>180.0</v>
      </c>
      <c r="O469" s="110"/>
    </row>
    <row r="470">
      <c r="A470" s="20">
        <v>71203.0</v>
      </c>
      <c r="B470" s="110">
        <v>44146.0</v>
      </c>
      <c r="C470" s="20" t="s">
        <v>229</v>
      </c>
      <c r="D470" s="20" t="s">
        <v>242</v>
      </c>
      <c r="E470" s="23">
        <v>120.0</v>
      </c>
      <c r="O470" s="110"/>
    </row>
    <row r="471">
      <c r="A471" s="20">
        <v>71206.0</v>
      </c>
      <c r="B471" s="110">
        <v>44146.0</v>
      </c>
      <c r="C471" s="20" t="s">
        <v>237</v>
      </c>
      <c r="D471" s="20" t="s">
        <v>253</v>
      </c>
      <c r="E471" s="23">
        <v>150.0</v>
      </c>
      <c r="O471" s="110"/>
    </row>
    <row r="472">
      <c r="A472" s="20">
        <v>71276.0</v>
      </c>
      <c r="B472" s="110">
        <v>44146.0</v>
      </c>
      <c r="C472" s="20" t="s">
        <v>237</v>
      </c>
      <c r="D472" s="20" t="s">
        <v>242</v>
      </c>
      <c r="E472" s="23">
        <v>190.0</v>
      </c>
      <c r="O472" s="110"/>
    </row>
    <row r="473">
      <c r="A473" s="20">
        <v>71214.0</v>
      </c>
      <c r="B473" s="110">
        <v>44146.0</v>
      </c>
      <c r="C473" s="20" t="s">
        <v>237</v>
      </c>
      <c r="D473" s="20" t="s">
        <v>250</v>
      </c>
      <c r="E473" s="23">
        <v>160.0</v>
      </c>
      <c r="O473" s="110"/>
    </row>
    <row r="474">
      <c r="A474" s="20">
        <v>71290.0</v>
      </c>
      <c r="B474" s="110">
        <v>44146.0</v>
      </c>
      <c r="C474" s="20" t="s">
        <v>229</v>
      </c>
      <c r="D474" s="20" t="s">
        <v>253</v>
      </c>
      <c r="E474" s="23">
        <v>160.0</v>
      </c>
      <c r="O474" s="110"/>
    </row>
    <row r="475">
      <c r="A475" s="20">
        <v>71218.0</v>
      </c>
      <c r="B475" s="110">
        <v>44146.0</v>
      </c>
      <c r="C475" s="20" t="s">
        <v>229</v>
      </c>
      <c r="D475" s="20" t="s">
        <v>242</v>
      </c>
      <c r="E475" s="23">
        <v>190.0</v>
      </c>
      <c r="O475" s="110"/>
    </row>
    <row r="476">
      <c r="A476" s="20">
        <v>71256.0</v>
      </c>
      <c r="B476" s="110">
        <v>44146.0</v>
      </c>
      <c r="C476" s="20" t="s">
        <v>229</v>
      </c>
      <c r="D476" s="20" t="s">
        <v>249</v>
      </c>
      <c r="E476" s="23">
        <v>140.0</v>
      </c>
      <c r="O476" s="110"/>
    </row>
    <row r="477">
      <c r="A477" s="20">
        <v>71238.0</v>
      </c>
      <c r="B477" s="110">
        <v>44146.0</v>
      </c>
      <c r="C477" s="20" t="s">
        <v>229</v>
      </c>
      <c r="D477" s="20" t="s">
        <v>253</v>
      </c>
      <c r="E477" s="23">
        <v>140.0</v>
      </c>
      <c r="O477" s="110"/>
    </row>
    <row r="478">
      <c r="A478" s="20">
        <v>71237.0</v>
      </c>
      <c r="B478" s="110">
        <v>44148.0</v>
      </c>
      <c r="C478" s="20" t="s">
        <v>229</v>
      </c>
      <c r="D478" s="20" t="s">
        <v>249</v>
      </c>
      <c r="E478" s="23">
        <v>140.0</v>
      </c>
      <c r="O478" s="110"/>
    </row>
    <row r="479">
      <c r="A479" s="20">
        <v>71279.0</v>
      </c>
      <c r="B479" s="110">
        <v>44148.0</v>
      </c>
      <c r="C479" s="20" t="s">
        <v>229</v>
      </c>
      <c r="D479" s="20" t="s">
        <v>253</v>
      </c>
      <c r="E479" s="23">
        <v>140.0</v>
      </c>
      <c r="O479" s="110"/>
    </row>
    <row r="480">
      <c r="A480" s="20">
        <v>71229.0</v>
      </c>
      <c r="B480" s="110">
        <v>44149.0</v>
      </c>
      <c r="C480" s="20" t="s">
        <v>237</v>
      </c>
      <c r="D480" s="20" t="s">
        <v>249</v>
      </c>
      <c r="E480" s="23">
        <v>120.0</v>
      </c>
      <c r="O480" s="110"/>
    </row>
    <row r="481">
      <c r="A481" s="20">
        <v>71240.0</v>
      </c>
      <c r="B481" s="110">
        <v>44149.0</v>
      </c>
      <c r="C481" s="20" t="s">
        <v>237</v>
      </c>
      <c r="D481" s="20" t="s">
        <v>253</v>
      </c>
      <c r="E481" s="23">
        <v>130.0</v>
      </c>
      <c r="O481" s="110"/>
    </row>
    <row r="482">
      <c r="A482" s="20">
        <v>71254.0</v>
      </c>
      <c r="B482" s="110">
        <v>44149.0</v>
      </c>
      <c r="C482" s="20" t="s">
        <v>237</v>
      </c>
      <c r="D482" s="20" t="s">
        <v>242</v>
      </c>
      <c r="E482" s="23">
        <v>120.0</v>
      </c>
      <c r="O482" s="110"/>
    </row>
    <row r="483">
      <c r="A483" s="20">
        <v>71247.0</v>
      </c>
      <c r="B483" s="110">
        <v>44150.0</v>
      </c>
      <c r="C483" s="20" t="s">
        <v>237</v>
      </c>
      <c r="D483" s="20" t="s">
        <v>249</v>
      </c>
      <c r="E483" s="23">
        <v>120.0</v>
      </c>
      <c r="O483" s="110"/>
    </row>
    <row r="484">
      <c r="A484" s="20">
        <v>71274.0</v>
      </c>
      <c r="B484" s="110">
        <v>44150.0</v>
      </c>
      <c r="C484" s="20" t="s">
        <v>237</v>
      </c>
      <c r="D484" s="20" t="s">
        <v>253</v>
      </c>
      <c r="E484" s="23">
        <v>110.0</v>
      </c>
      <c r="O484" s="110"/>
    </row>
    <row r="485">
      <c r="A485" s="20">
        <v>71277.0</v>
      </c>
      <c r="B485" s="110">
        <v>44150.0</v>
      </c>
      <c r="C485" s="20" t="s">
        <v>229</v>
      </c>
      <c r="D485" s="20" t="s">
        <v>249</v>
      </c>
      <c r="E485" s="23">
        <v>120.0</v>
      </c>
      <c r="O485" s="110"/>
    </row>
    <row r="486">
      <c r="A486" s="20">
        <v>71217.0</v>
      </c>
      <c r="B486" s="110">
        <v>44150.0</v>
      </c>
      <c r="C486" s="20" t="s">
        <v>229</v>
      </c>
      <c r="D486" s="20" t="s">
        <v>253</v>
      </c>
      <c r="E486" s="23">
        <v>140.0</v>
      </c>
      <c r="O486" s="110"/>
    </row>
    <row r="487">
      <c r="A487" s="20">
        <v>71288.0</v>
      </c>
      <c r="B487" s="110">
        <v>44150.0</v>
      </c>
      <c r="C487" s="20" t="s">
        <v>229</v>
      </c>
      <c r="D487" s="20" t="s">
        <v>242</v>
      </c>
      <c r="E487" s="23">
        <v>160.0</v>
      </c>
      <c r="O487" s="110"/>
    </row>
    <row r="488">
      <c r="A488" s="20">
        <v>71210.0</v>
      </c>
      <c r="B488" s="110">
        <v>44150.0</v>
      </c>
      <c r="C488" s="20" t="s">
        <v>237</v>
      </c>
      <c r="D488" s="20" t="s">
        <v>250</v>
      </c>
      <c r="E488" s="23">
        <v>120.0</v>
      </c>
      <c r="O488" s="110"/>
    </row>
    <row r="489">
      <c r="A489" s="20">
        <v>71220.0</v>
      </c>
      <c r="B489" s="110">
        <v>44150.0</v>
      </c>
      <c r="C489" s="20" t="s">
        <v>237</v>
      </c>
      <c r="D489" s="20" t="s">
        <v>249</v>
      </c>
      <c r="E489" s="23">
        <v>200.0</v>
      </c>
      <c r="O489" s="110"/>
    </row>
    <row r="490">
      <c r="A490" s="20">
        <v>71289.0</v>
      </c>
      <c r="B490" s="110">
        <v>44152.0</v>
      </c>
      <c r="C490" s="20" t="s">
        <v>229</v>
      </c>
      <c r="D490" s="20" t="s">
        <v>253</v>
      </c>
      <c r="E490" s="23">
        <v>140.0</v>
      </c>
      <c r="O490" s="110"/>
    </row>
    <row r="491">
      <c r="A491" s="20">
        <v>71280.0</v>
      </c>
      <c r="B491" s="110">
        <v>44152.0</v>
      </c>
      <c r="C491" s="20" t="s">
        <v>229</v>
      </c>
      <c r="D491" s="20" t="s">
        <v>242</v>
      </c>
      <c r="E491" s="23">
        <v>130.0</v>
      </c>
      <c r="O491" s="110"/>
    </row>
    <row r="492">
      <c r="A492" s="20">
        <v>71231.0</v>
      </c>
      <c r="B492" s="110">
        <v>44152.0</v>
      </c>
      <c r="C492" s="20" t="s">
        <v>237</v>
      </c>
      <c r="D492" s="20" t="s">
        <v>253</v>
      </c>
      <c r="E492" s="23">
        <v>120.0</v>
      </c>
      <c r="O492" s="110"/>
    </row>
    <row r="493">
      <c r="A493" s="20">
        <v>71221.0</v>
      </c>
      <c r="B493" s="110">
        <v>44152.0</v>
      </c>
      <c r="C493" s="20" t="s">
        <v>237</v>
      </c>
      <c r="D493" s="20" t="s">
        <v>242</v>
      </c>
      <c r="E493" s="23">
        <v>140.0</v>
      </c>
      <c r="O493" s="110"/>
    </row>
    <row r="494">
      <c r="A494" s="20">
        <v>71230.0</v>
      </c>
      <c r="B494" s="110">
        <v>44152.0</v>
      </c>
      <c r="C494" s="20" t="s">
        <v>237</v>
      </c>
      <c r="D494" s="20" t="s">
        <v>250</v>
      </c>
      <c r="E494" s="23">
        <v>170.0</v>
      </c>
      <c r="O494" s="110"/>
    </row>
    <row r="495">
      <c r="A495" s="20">
        <v>71242.0</v>
      </c>
      <c r="B495" s="110">
        <v>44152.0</v>
      </c>
      <c r="C495" s="20" t="s">
        <v>229</v>
      </c>
      <c r="D495" s="20" t="s">
        <v>253</v>
      </c>
      <c r="E495" s="23">
        <v>190.0</v>
      </c>
      <c r="O495" s="110"/>
    </row>
    <row r="496">
      <c r="A496" s="20">
        <v>71259.0</v>
      </c>
      <c r="B496" s="110">
        <v>44152.0</v>
      </c>
      <c r="C496" s="20" t="s">
        <v>229</v>
      </c>
      <c r="D496" s="20" t="s">
        <v>242</v>
      </c>
      <c r="E496" s="23">
        <v>140.0</v>
      </c>
      <c r="O496" s="110"/>
    </row>
    <row r="497">
      <c r="A497" s="20">
        <v>71216.0</v>
      </c>
      <c r="B497" s="110">
        <v>44156.0</v>
      </c>
      <c r="C497" s="20" t="s">
        <v>237</v>
      </c>
      <c r="D497" s="20" t="s">
        <v>249</v>
      </c>
      <c r="E497" s="23">
        <v>140.0</v>
      </c>
      <c r="O497" s="110"/>
    </row>
    <row r="498">
      <c r="A498" s="20">
        <v>71295.0</v>
      </c>
      <c r="B498" s="110">
        <v>44156.0</v>
      </c>
      <c r="C498" s="20" t="s">
        <v>237</v>
      </c>
      <c r="D498" s="20" t="s">
        <v>253</v>
      </c>
      <c r="E498" s="23">
        <v>160.0</v>
      </c>
      <c r="O498" s="110"/>
    </row>
    <row r="499">
      <c r="A499" s="20">
        <v>71216.0</v>
      </c>
      <c r="B499" s="110">
        <v>44156.0</v>
      </c>
      <c r="C499" s="20" t="s">
        <v>229</v>
      </c>
      <c r="D499" s="20" t="s">
        <v>249</v>
      </c>
      <c r="E499" s="23">
        <v>140.0</v>
      </c>
      <c r="O499" s="110"/>
    </row>
    <row r="500">
      <c r="A500" s="20">
        <v>71264.0</v>
      </c>
      <c r="B500" s="110">
        <v>44156.0</v>
      </c>
      <c r="C500" s="20" t="s">
        <v>229</v>
      </c>
      <c r="D500" s="20" t="s">
        <v>253</v>
      </c>
      <c r="E500" s="23">
        <v>130.0</v>
      </c>
      <c r="O500" s="110"/>
    </row>
    <row r="501">
      <c r="A501" s="20">
        <v>71237.0</v>
      </c>
      <c r="B501" s="110">
        <v>44156.0</v>
      </c>
      <c r="C501" s="20" t="s">
        <v>229</v>
      </c>
      <c r="D501" s="20" t="s">
        <v>242</v>
      </c>
      <c r="E501" s="23">
        <v>140.0</v>
      </c>
      <c r="O501" s="110"/>
    </row>
    <row r="502">
      <c r="A502" s="20">
        <v>71254.0</v>
      </c>
      <c r="B502" s="110">
        <v>44156.0</v>
      </c>
      <c r="C502" s="20" t="s">
        <v>237</v>
      </c>
      <c r="D502" s="20" t="s">
        <v>250</v>
      </c>
      <c r="E502" s="23">
        <v>120.0</v>
      </c>
      <c r="O502" s="110"/>
    </row>
    <row r="503">
      <c r="A503" s="20">
        <v>71215.0</v>
      </c>
      <c r="B503" s="110">
        <v>44156.0</v>
      </c>
      <c r="C503" s="20" t="s">
        <v>237</v>
      </c>
      <c r="D503" s="20" t="s">
        <v>249</v>
      </c>
      <c r="E503" s="23">
        <v>120.0</v>
      </c>
      <c r="O503" s="110"/>
    </row>
    <row r="504">
      <c r="A504" s="20">
        <v>71257.0</v>
      </c>
      <c r="B504" s="110">
        <v>44169.0</v>
      </c>
      <c r="C504" s="20" t="s">
        <v>229</v>
      </c>
      <c r="D504" s="20" t="s">
        <v>249</v>
      </c>
      <c r="E504" s="23">
        <v>120.0</v>
      </c>
      <c r="O504" s="110"/>
    </row>
    <row r="505">
      <c r="A505" s="20">
        <v>71208.0</v>
      </c>
      <c r="B505" s="110">
        <v>44169.0</v>
      </c>
      <c r="C505" s="20" t="s">
        <v>229</v>
      </c>
      <c r="D505" s="20" t="s">
        <v>253</v>
      </c>
      <c r="E505" s="23">
        <v>371.0</v>
      </c>
      <c r="O505" s="110"/>
    </row>
    <row r="506">
      <c r="A506" s="20">
        <v>71212.0</v>
      </c>
      <c r="B506" s="110">
        <v>44172.0</v>
      </c>
      <c r="C506" s="20" t="s">
        <v>229</v>
      </c>
      <c r="D506" s="20" t="s">
        <v>249</v>
      </c>
      <c r="E506" s="23">
        <v>170.0</v>
      </c>
      <c r="O506" s="110"/>
    </row>
    <row r="507">
      <c r="A507" s="20">
        <v>71269.0</v>
      </c>
      <c r="B507" s="110">
        <v>44172.0</v>
      </c>
      <c r="C507" s="20" t="s">
        <v>229</v>
      </c>
      <c r="D507" s="20" t="s">
        <v>253</v>
      </c>
      <c r="E507" s="23">
        <v>140.0</v>
      </c>
      <c r="O507" s="110"/>
    </row>
    <row r="508">
      <c r="A508" s="20">
        <v>71248.0</v>
      </c>
      <c r="B508" s="110">
        <v>44172.0</v>
      </c>
      <c r="C508" s="20" t="s">
        <v>257</v>
      </c>
      <c r="D508" s="20" t="s">
        <v>238</v>
      </c>
      <c r="E508" s="23">
        <v>270.0</v>
      </c>
      <c r="O508" s="110"/>
    </row>
    <row r="509">
      <c r="A509" s="20">
        <v>71215.0</v>
      </c>
      <c r="B509" s="110">
        <v>44172.0</v>
      </c>
      <c r="C509" s="20" t="s">
        <v>257</v>
      </c>
      <c r="D509" s="20" t="s">
        <v>253</v>
      </c>
      <c r="E509" s="23">
        <v>120.0</v>
      </c>
      <c r="O509" s="110"/>
    </row>
    <row r="510">
      <c r="A510" s="20">
        <v>71297.0</v>
      </c>
      <c r="B510" s="110">
        <v>44172.0</v>
      </c>
      <c r="C510" s="20" t="s">
        <v>257</v>
      </c>
      <c r="D510" s="20" t="s">
        <v>242</v>
      </c>
      <c r="E510" s="23">
        <v>317.0</v>
      </c>
      <c r="O510" s="110"/>
    </row>
    <row r="511">
      <c r="A511" s="20">
        <v>71281.0</v>
      </c>
      <c r="B511" s="110">
        <v>44172.0</v>
      </c>
      <c r="C511" s="20" t="s">
        <v>257</v>
      </c>
      <c r="D511" s="20" t="s">
        <v>250</v>
      </c>
      <c r="E511" s="23">
        <v>397.0</v>
      </c>
      <c r="O511" s="110"/>
    </row>
    <row r="512">
      <c r="A512" s="20">
        <v>71289.0</v>
      </c>
      <c r="B512" s="110">
        <v>44173.0</v>
      </c>
      <c r="C512" s="20" t="s">
        <v>237</v>
      </c>
      <c r="D512" s="20" t="s">
        <v>249</v>
      </c>
      <c r="E512" s="23">
        <v>140.0</v>
      </c>
      <c r="O512" s="110"/>
    </row>
    <row r="513">
      <c r="A513" s="20">
        <v>71299.0</v>
      </c>
      <c r="B513" s="110">
        <v>44173.0</v>
      </c>
      <c r="C513" s="20" t="s">
        <v>237</v>
      </c>
      <c r="D513" s="20" t="s">
        <v>253</v>
      </c>
      <c r="E513" s="23">
        <v>150.0</v>
      </c>
      <c r="O513" s="110"/>
    </row>
    <row r="514">
      <c r="A514" s="20">
        <v>71229.0</v>
      </c>
      <c r="B514" s="110">
        <v>44173.0</v>
      </c>
      <c r="C514" s="20" t="s">
        <v>237</v>
      </c>
      <c r="D514" s="20" t="s">
        <v>242</v>
      </c>
      <c r="E514" s="23">
        <v>120.0</v>
      </c>
      <c r="O514" s="110"/>
    </row>
    <row r="515">
      <c r="A515" s="20">
        <v>71219.0</v>
      </c>
      <c r="B515" s="110">
        <v>44177.0</v>
      </c>
      <c r="C515" s="20" t="s">
        <v>229</v>
      </c>
      <c r="D515" s="20" t="s">
        <v>253</v>
      </c>
      <c r="E515" s="23">
        <v>180.0</v>
      </c>
      <c r="O515" s="110"/>
    </row>
    <row r="516">
      <c r="A516" s="20">
        <v>71268.0</v>
      </c>
      <c r="B516" s="110">
        <v>44177.0</v>
      </c>
      <c r="C516" s="20" t="s">
        <v>229</v>
      </c>
      <c r="D516" s="20" t="s">
        <v>242</v>
      </c>
      <c r="E516" s="23">
        <v>120.0</v>
      </c>
      <c r="O516" s="110"/>
    </row>
    <row r="517">
      <c r="A517" s="20">
        <v>71220.0</v>
      </c>
      <c r="B517" s="110">
        <v>44177.0</v>
      </c>
      <c r="C517" s="20" t="s">
        <v>237</v>
      </c>
      <c r="D517" s="20" t="s">
        <v>253</v>
      </c>
      <c r="E517" s="23">
        <v>200.0</v>
      </c>
      <c r="O517" s="110"/>
    </row>
    <row r="518">
      <c r="A518" s="20">
        <v>71234.0</v>
      </c>
      <c r="B518" s="110">
        <v>44177.0</v>
      </c>
      <c r="C518" s="20" t="s">
        <v>237</v>
      </c>
      <c r="D518" s="20" t="s">
        <v>242</v>
      </c>
      <c r="E518" s="23">
        <v>180.0</v>
      </c>
      <c r="O518" s="110"/>
    </row>
    <row r="519">
      <c r="A519" s="20">
        <v>71254.0</v>
      </c>
      <c r="B519" s="110">
        <v>44177.0</v>
      </c>
      <c r="C519" s="20" t="s">
        <v>237</v>
      </c>
      <c r="D519" s="20" t="s">
        <v>250</v>
      </c>
      <c r="E519" s="23">
        <v>120.0</v>
      </c>
      <c r="O519" s="110"/>
    </row>
    <row r="520">
      <c r="A520" s="20">
        <v>71207.0</v>
      </c>
      <c r="B520" s="110">
        <v>44177.0</v>
      </c>
      <c r="C520" s="20" t="s">
        <v>229</v>
      </c>
      <c r="D520" s="20" t="s">
        <v>253</v>
      </c>
      <c r="E520" s="23">
        <v>160.0</v>
      </c>
      <c r="O520" s="110"/>
    </row>
    <row r="521">
      <c r="A521" s="20">
        <v>71200.0</v>
      </c>
      <c r="B521" s="110">
        <v>44177.0</v>
      </c>
      <c r="C521" s="20" t="s">
        <v>229</v>
      </c>
      <c r="D521" s="20" t="s">
        <v>242</v>
      </c>
      <c r="E521" s="23">
        <v>190.0</v>
      </c>
      <c r="O521" s="110"/>
    </row>
    <row r="522">
      <c r="A522" s="20">
        <v>71295.0</v>
      </c>
      <c r="B522" s="110">
        <v>44177.0</v>
      </c>
      <c r="C522" s="20" t="s">
        <v>229</v>
      </c>
      <c r="D522" s="20" t="s">
        <v>249</v>
      </c>
      <c r="E522" s="23">
        <v>160.0</v>
      </c>
      <c r="O522" s="110"/>
    </row>
    <row r="523">
      <c r="A523" s="20">
        <v>71216.0</v>
      </c>
      <c r="B523" s="110">
        <v>44177.0</v>
      </c>
      <c r="C523" s="20" t="s">
        <v>229</v>
      </c>
      <c r="D523" s="20" t="s">
        <v>253</v>
      </c>
      <c r="E523" s="23">
        <v>140.0</v>
      </c>
      <c r="O523" s="110"/>
    </row>
    <row r="524">
      <c r="A524" s="20">
        <v>71254.0</v>
      </c>
      <c r="B524" s="110">
        <v>44178.0</v>
      </c>
      <c r="C524" s="20" t="s">
        <v>229</v>
      </c>
      <c r="D524" s="20" t="s">
        <v>249</v>
      </c>
      <c r="E524" s="23">
        <v>120.0</v>
      </c>
      <c r="O524" s="110"/>
    </row>
    <row r="525">
      <c r="A525" s="20">
        <v>71252.0</v>
      </c>
      <c r="B525" s="110">
        <v>44178.0</v>
      </c>
      <c r="C525" s="20" t="s">
        <v>229</v>
      </c>
      <c r="D525" s="20" t="s">
        <v>253</v>
      </c>
      <c r="E525" s="23">
        <v>120.0</v>
      </c>
      <c r="O525" s="110"/>
    </row>
    <row r="526">
      <c r="A526" s="20">
        <v>71287.0</v>
      </c>
      <c r="B526" s="110">
        <v>44179.0</v>
      </c>
      <c r="C526" s="20" t="s">
        <v>237</v>
      </c>
      <c r="D526" s="20" t="s">
        <v>249</v>
      </c>
      <c r="E526" s="23">
        <v>120.0</v>
      </c>
      <c r="O526" s="110"/>
    </row>
    <row r="527">
      <c r="A527" s="20">
        <v>71289.0</v>
      </c>
      <c r="B527" s="110">
        <v>44179.0</v>
      </c>
      <c r="C527" s="20" t="s">
        <v>237</v>
      </c>
      <c r="D527" s="20" t="s">
        <v>253</v>
      </c>
      <c r="E527" s="23">
        <v>140.0</v>
      </c>
      <c r="O527" s="110"/>
    </row>
    <row r="528">
      <c r="A528" s="20">
        <v>71234.0</v>
      </c>
      <c r="B528" s="110">
        <v>44179.0</v>
      </c>
      <c r="C528" s="20" t="s">
        <v>237</v>
      </c>
      <c r="D528" s="20" t="s">
        <v>242</v>
      </c>
      <c r="E528" s="23">
        <v>180.0</v>
      </c>
      <c r="O528" s="110"/>
    </row>
    <row r="529">
      <c r="A529" s="20">
        <v>71219.0</v>
      </c>
      <c r="B529" s="110">
        <v>44180.0</v>
      </c>
      <c r="C529" s="20" t="s">
        <v>237</v>
      </c>
      <c r="D529" s="20" t="s">
        <v>249</v>
      </c>
      <c r="E529" s="23">
        <v>180.0</v>
      </c>
      <c r="O529" s="110"/>
    </row>
    <row r="530">
      <c r="A530" s="20">
        <v>71234.0</v>
      </c>
      <c r="B530" s="110">
        <v>44180.0</v>
      </c>
      <c r="C530" s="20" t="s">
        <v>237</v>
      </c>
      <c r="D530" s="20" t="s">
        <v>253</v>
      </c>
      <c r="E530" s="23">
        <v>180.0</v>
      </c>
      <c r="O530" s="110"/>
    </row>
    <row r="531">
      <c r="A531" s="20">
        <v>71213.0</v>
      </c>
      <c r="B531" s="110">
        <v>44180.0</v>
      </c>
      <c r="C531" s="20" t="s">
        <v>229</v>
      </c>
      <c r="D531" s="20" t="s">
        <v>249</v>
      </c>
      <c r="E531" s="23">
        <v>120.0</v>
      </c>
      <c r="O531" s="110"/>
    </row>
    <row r="532">
      <c r="A532" s="20">
        <v>71291.0</v>
      </c>
      <c r="B532" s="110">
        <v>44180.0</v>
      </c>
      <c r="C532" s="20" t="s">
        <v>229</v>
      </c>
      <c r="D532" s="20" t="s">
        <v>253</v>
      </c>
      <c r="E532" s="23">
        <v>140.0</v>
      </c>
      <c r="O532" s="110"/>
    </row>
    <row r="533">
      <c r="A533" s="20">
        <v>71260.0</v>
      </c>
      <c r="B533" s="110">
        <v>44180.0</v>
      </c>
      <c r="C533" s="20" t="s">
        <v>229</v>
      </c>
      <c r="D533" s="20" t="s">
        <v>242</v>
      </c>
      <c r="E533" s="23">
        <v>160.0</v>
      </c>
      <c r="O533" s="110"/>
    </row>
    <row r="534">
      <c r="A534" s="20">
        <v>71252.0</v>
      </c>
      <c r="B534" s="110">
        <v>44180.0</v>
      </c>
      <c r="C534" s="20" t="s">
        <v>237</v>
      </c>
      <c r="D534" s="20" t="s">
        <v>250</v>
      </c>
      <c r="E534" s="23">
        <v>120.0</v>
      </c>
      <c r="O534" s="110"/>
    </row>
    <row r="535">
      <c r="A535" s="20">
        <v>71263.0</v>
      </c>
      <c r="B535" s="110">
        <v>44180.0</v>
      </c>
      <c r="C535" s="20" t="s">
        <v>237</v>
      </c>
      <c r="D535" s="20" t="s">
        <v>249</v>
      </c>
      <c r="E535" s="23">
        <v>200.0</v>
      </c>
      <c r="O535" s="110"/>
    </row>
    <row r="536">
      <c r="A536" s="20">
        <v>71212.0</v>
      </c>
      <c r="B536" s="110">
        <v>44182.0</v>
      </c>
      <c r="C536" s="20" t="s">
        <v>229</v>
      </c>
      <c r="D536" s="20" t="s">
        <v>253</v>
      </c>
      <c r="E536" s="23">
        <v>170.0</v>
      </c>
      <c r="O536" s="110"/>
    </row>
    <row r="537">
      <c r="A537" s="20">
        <v>71269.0</v>
      </c>
      <c r="B537" s="110">
        <v>44182.0</v>
      </c>
      <c r="C537" s="20" t="s">
        <v>229</v>
      </c>
      <c r="D537" s="20" t="s">
        <v>242</v>
      </c>
      <c r="E537" s="23">
        <v>140.0</v>
      </c>
      <c r="O537" s="110"/>
    </row>
    <row r="538">
      <c r="A538" s="20">
        <v>71292.0</v>
      </c>
      <c r="B538" s="110">
        <v>44182.0</v>
      </c>
      <c r="C538" s="20" t="s">
        <v>237</v>
      </c>
      <c r="D538" s="20" t="s">
        <v>253</v>
      </c>
      <c r="E538" s="23">
        <v>120.0</v>
      </c>
      <c r="O538" s="110"/>
    </row>
    <row r="539">
      <c r="A539" s="20">
        <v>71231.0</v>
      </c>
      <c r="B539" s="110">
        <v>44182.0</v>
      </c>
      <c r="C539" s="20" t="s">
        <v>237</v>
      </c>
      <c r="D539" s="20" t="s">
        <v>242</v>
      </c>
      <c r="E539" s="23">
        <v>120.0</v>
      </c>
      <c r="O539" s="110"/>
    </row>
    <row r="540">
      <c r="A540" s="20">
        <v>71200.0</v>
      </c>
      <c r="B540" s="110">
        <v>44182.0</v>
      </c>
      <c r="C540" s="20" t="s">
        <v>237</v>
      </c>
      <c r="D540" s="20" t="s">
        <v>250</v>
      </c>
      <c r="E540" s="23">
        <v>190.0</v>
      </c>
      <c r="O540" s="110"/>
    </row>
    <row r="541">
      <c r="A541" s="20">
        <v>71275.0</v>
      </c>
      <c r="B541" s="110">
        <v>44182.0</v>
      </c>
      <c r="C541" s="20" t="s">
        <v>229</v>
      </c>
      <c r="D541" s="20" t="s">
        <v>253</v>
      </c>
      <c r="E541" s="23">
        <v>190.0</v>
      </c>
      <c r="O541" s="110"/>
    </row>
    <row r="542">
      <c r="A542" s="20">
        <v>71253.0</v>
      </c>
      <c r="B542" s="110">
        <v>44182.0</v>
      </c>
      <c r="C542" s="20" t="s">
        <v>229</v>
      </c>
      <c r="D542" s="20" t="s">
        <v>242</v>
      </c>
      <c r="E542" s="23">
        <v>140.0</v>
      </c>
      <c r="O542" s="110"/>
    </row>
    <row r="543">
      <c r="A543" s="20">
        <v>71206.0</v>
      </c>
      <c r="B543" s="110">
        <v>44186.0</v>
      </c>
      <c r="C543" s="20" t="s">
        <v>237</v>
      </c>
      <c r="D543" s="20" t="s">
        <v>249</v>
      </c>
      <c r="E543" s="23">
        <v>150.0</v>
      </c>
      <c r="O543" s="110"/>
    </row>
    <row r="544">
      <c r="A544" s="20">
        <v>71241.0</v>
      </c>
      <c r="B544" s="110">
        <v>44186.0</v>
      </c>
      <c r="C544" s="20" t="s">
        <v>237</v>
      </c>
      <c r="D544" s="20" t="s">
        <v>253</v>
      </c>
      <c r="E544" s="23">
        <v>160.0</v>
      </c>
      <c r="O544" s="110"/>
    </row>
    <row r="545">
      <c r="A545" s="20">
        <v>71244.0</v>
      </c>
      <c r="B545" s="110">
        <v>44186.0</v>
      </c>
      <c r="C545" s="20" t="s">
        <v>229</v>
      </c>
      <c r="D545" s="20" t="s">
        <v>249</v>
      </c>
      <c r="E545" s="23">
        <v>190.0</v>
      </c>
      <c r="O545" s="110"/>
    </row>
    <row r="546">
      <c r="A546" s="20">
        <v>71234.0</v>
      </c>
      <c r="B546" s="110">
        <v>44186.0</v>
      </c>
      <c r="C546" s="20" t="s">
        <v>229</v>
      </c>
      <c r="D546" s="20" t="s">
        <v>253</v>
      </c>
      <c r="E546" s="23">
        <v>180.0</v>
      </c>
      <c r="O546" s="110"/>
    </row>
    <row r="547">
      <c r="A547" s="20">
        <v>71228.0</v>
      </c>
      <c r="B547" s="110">
        <v>44186.0</v>
      </c>
      <c r="C547" s="20" t="s">
        <v>229</v>
      </c>
      <c r="D547" s="20" t="s">
        <v>242</v>
      </c>
      <c r="E547" s="23">
        <v>140.0</v>
      </c>
      <c r="O547" s="110"/>
    </row>
    <row r="548">
      <c r="A548" s="20">
        <v>71266.0</v>
      </c>
      <c r="B548" s="110">
        <v>44186.0</v>
      </c>
      <c r="C548" s="20" t="s">
        <v>237</v>
      </c>
      <c r="D548" s="20" t="s">
        <v>250</v>
      </c>
      <c r="E548" s="23">
        <v>190.0</v>
      </c>
      <c r="O548" s="110"/>
    </row>
    <row r="549">
      <c r="A549" s="20">
        <v>71288.0</v>
      </c>
      <c r="B549" s="110">
        <v>44186.0</v>
      </c>
      <c r="C549" s="20" t="s">
        <v>237</v>
      </c>
      <c r="D549" s="20" t="s">
        <v>249</v>
      </c>
      <c r="E549" s="23">
        <v>160.0</v>
      </c>
      <c r="O549" s="110"/>
    </row>
  </sheetData>
  <mergeCells count="4">
    <mergeCell ref="G8:H10"/>
    <mergeCell ref="I8:I10"/>
    <mergeCell ref="G13:H16"/>
    <mergeCell ref="I13:I16"/>
  </mergeCells>
  <dataValidations>
    <dataValidation type="date" allowBlank="1" showDropDown="1" showInputMessage="1" showErrorMessage="1" prompt="Double click and select a date between 1/1/2020 and 12/31/2020" sqref="I3:I4">
      <formula1>43831.0</formula1>
      <formula2>44196.0</formula2>
    </dataValidation>
  </dataValidations>
  <drawing r:id="rId2"/>
  <legacyDrawing r:id="rId3"/>
</worksheet>
</file>