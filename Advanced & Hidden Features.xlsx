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Custom Format" sheetId="2" r:id="rId6"/>
    <sheet state="visible" name="Conditional Advanced " sheetId="3" r:id="rId7"/>
    <sheet state="visible" name="Challenge #1" sheetId="4" r:id="rId8"/>
    <sheet state="visible" name="Dep. DropDown" sheetId="5" r:id="rId9"/>
    <sheet state="visible" name="Challenge #2" sheetId="6" r:id="rId10"/>
  </sheets>
  <definedNames/>
  <calcPr/>
</workbook>
</file>

<file path=xl/sharedStrings.xml><?xml version="1.0" encoding="utf-8"?>
<sst xmlns="http://schemas.openxmlformats.org/spreadsheetml/2006/main" count="485" uniqueCount="144">
  <si>
    <t>Google Sheets Essentials</t>
  </si>
  <si>
    <t>Data Entry &amp; Basic Formulas</t>
  </si>
  <si>
    <t>LINK</t>
  </si>
  <si>
    <t>TOPIC</t>
  </si>
  <si>
    <t>COMPREHENSION</t>
  </si>
  <si>
    <t>YOUR NOTES</t>
  </si>
  <si>
    <t>Custom Number Formatting Explained</t>
  </si>
  <si>
    <t>Select One…</t>
  </si>
  <si>
    <t>Advanced Conditional Formatting</t>
  </si>
  <si>
    <t>Challenge: Find the Difference Between Two Lists</t>
  </si>
  <si>
    <t>Dependent Drop-down Lists in Google Sheets</t>
  </si>
  <si>
    <t>Challenge: Dependent drop-down Lists in Google Sheets</t>
  </si>
  <si>
    <t>Custom Formatting Explained</t>
  </si>
  <si>
    <t>--&gt;</t>
  </si>
  <si>
    <t>Custom Formatting Trick!</t>
  </si>
  <si>
    <t>Source</t>
  </si>
  <si>
    <t>Where's the data?</t>
  </si>
  <si>
    <t>Hide Zero values</t>
  </si>
  <si>
    <t>Add thousand separator &amp; color</t>
  </si>
  <si>
    <t>Add $ and left-align</t>
  </si>
  <si>
    <t>Add Win &amp; Loss</t>
  </si>
  <si>
    <t>Show in millions</t>
  </si>
  <si>
    <t>Actual</t>
  </si>
  <si>
    <t>Budget</t>
  </si>
  <si>
    <t>Laptop</t>
  </si>
  <si>
    <t>Phone Case</t>
  </si>
  <si>
    <t>Women</t>
  </si>
  <si>
    <t>Men</t>
  </si>
  <si>
    <t>Unisex</t>
  </si>
  <si>
    <t>Character</t>
  </si>
  <si>
    <t>Description</t>
  </si>
  <si>
    <t>$ or €</t>
  </si>
  <si>
    <t>Special character that will show without need for quotation marks</t>
  </si>
  <si>
    <t>""</t>
  </si>
  <si>
    <t>Displays text that is typed between the quotation marks</t>
  </si>
  <si>
    <t>_( , _)</t>
  </si>
  <si>
    <t>The _ displays a single blank character space</t>
  </si>
  <si>
    <t>Fixed Placeholder for values.</t>
  </si>
  <si>
    <t>#</t>
  </si>
  <si>
    <t>Digit placeholder as in 0. Difference is that it does not force trailing 0 values. i.e. if you have #.## as format then 1.2 is displayed and not 1.20</t>
  </si>
  <si>
    <t>.</t>
  </si>
  <si>
    <t>Dot to display decimal digits (Different depending on regional settings)</t>
  </si>
  <si>
    <t>,</t>
  </si>
  <si>
    <t>Comma displays the thousand separator (Different depending on regional settings)</t>
  </si>
  <si>
    <t>#,##0</t>
  </si>
  <si>
    <t>Displays commas for every three digits</t>
  </si>
  <si>
    <t>#,##0.00</t>
  </si>
  <si>
    <t>Display commas for thousands and shows two decimal places</t>
  </si>
  <si>
    <t>0, and 0,,</t>
  </si>
  <si>
    <t>If a comma follows a placeholder then numbers are displayed in thousands and if two commas follow then they are displayed in millions</t>
  </si>
  <si>
    <t>?</t>
  </si>
  <si>
    <t>Digit placeholder follows the same rule as 0. One difference is that it shows blank for zero values and also aligns the decimal places of the numbers in columns</t>
  </si>
  <si>
    <t>*</t>
  </si>
  <si>
    <t>The asterisk repeats the next character until the width of the cell is filled.</t>
  </si>
  <si>
    <t>Black, White, Red, Blue, Green, Magenta, Yellow, Cyan</t>
  </si>
  <si>
    <r>
      <rPr/>
      <t xml:space="preserve">Color codes to choose from. You have more options here: </t>
    </r>
    <r>
      <rPr>
        <color rgb="FF1155CC"/>
        <u/>
      </rPr>
      <t>https://docs.microsoft.com/en-us/previous-versions/office/developer/office-2007/cc296089(v=office.12)</t>
    </r>
  </si>
  <si>
    <t>@</t>
  </si>
  <si>
    <t>Placeholder for text</t>
  </si>
  <si>
    <t>Custom Formulas with Conditional Formatting (Use this trick to get it right)</t>
  </si>
  <si>
    <t>Rule for Custom Formula in Conditional Formatting</t>
  </si>
  <si>
    <t>Sales by Product Group</t>
  </si>
  <si>
    <t>March</t>
  </si>
  <si>
    <r>
      <rPr>
        <rFont val="Roboto"/>
        <b/>
        <color theme="1"/>
      </rPr>
      <t>1.</t>
    </r>
    <r>
      <rPr>
        <rFont val="Roboto"/>
        <color theme="1"/>
      </rPr>
      <t xml:space="preserve"> Formula is written from the point of view of the first cell in the range</t>
    </r>
  </si>
  <si>
    <r>
      <rPr>
        <rFont val="Roboto"/>
        <b/>
        <color theme="1"/>
      </rPr>
      <t>2.</t>
    </r>
    <r>
      <rPr>
        <rFont val="Roboto"/>
        <color theme="1"/>
      </rPr>
      <t xml:space="preserve"> Format is applied to cell values where the formula result = TRUE</t>
    </r>
  </si>
  <si>
    <t>January</t>
  </si>
  <si>
    <t>February</t>
  </si>
  <si>
    <t>April</t>
  </si>
  <si>
    <t>May</t>
  </si>
  <si>
    <t>June</t>
  </si>
  <si>
    <t>TRUE are non-zero numbers and TRUE</t>
  </si>
  <si>
    <t>Percentage Completed</t>
  </si>
  <si>
    <t>Maria</t>
  </si>
  <si>
    <t>Chris</t>
  </si>
  <si>
    <t>Laura</t>
  </si>
  <si>
    <t>Kamil</t>
  </si>
  <si>
    <t>Highlight the Differences between the two lists with conditional formatting</t>
  </si>
  <si>
    <t>App list old</t>
  </si>
  <si>
    <t>App list new</t>
  </si>
  <si>
    <t>In slow motion</t>
  </si>
  <si>
    <t>Pet Feed</t>
  </si>
  <si>
    <t>Pez</t>
  </si>
  <si>
    <t>deRamblr</t>
  </si>
  <si>
    <t>Voltage</t>
  </si>
  <si>
    <t>Baden</t>
  </si>
  <si>
    <t>Hackrr</t>
  </si>
  <si>
    <t>Jellyfish</t>
  </si>
  <si>
    <t>Blend</t>
  </si>
  <si>
    <t>Accord</t>
  </si>
  <si>
    <t>Perino</t>
  </si>
  <si>
    <t>Aviatrr</t>
  </si>
  <si>
    <t>Right App</t>
  </si>
  <si>
    <t>Fightrr</t>
  </si>
  <si>
    <t>Arcade</t>
  </si>
  <si>
    <t>Five Labs</t>
  </si>
  <si>
    <t>Twistrr</t>
  </si>
  <si>
    <t>Misty Wash</t>
  </si>
  <si>
    <t>Atmos</t>
  </si>
  <si>
    <t>Pes</t>
  </si>
  <si>
    <t>Kryptis</t>
  </si>
  <si>
    <t>Dependent Drop-down Lists</t>
  </si>
  <si>
    <t>Dependent Drop-down Lists for Every Row</t>
  </si>
  <si>
    <t>Data Prep</t>
  </si>
  <si>
    <t>Department</t>
  </si>
  <si>
    <t>Position</t>
  </si>
  <si>
    <t>Category Manager</t>
  </si>
  <si>
    <t>Finance</t>
  </si>
  <si>
    <t>Accountant</t>
  </si>
  <si>
    <t>Procurement Manager</t>
  </si>
  <si>
    <t>Analyst</t>
  </si>
  <si>
    <t>Buyer</t>
  </si>
  <si>
    <t>Controller</t>
  </si>
  <si>
    <t>Digital Marketing</t>
  </si>
  <si>
    <t>Finance Manager</t>
  </si>
  <si>
    <t>Insurance Advisor</t>
  </si>
  <si>
    <t>Marketing Manager</t>
  </si>
  <si>
    <t>Project Manager</t>
  </si>
  <si>
    <t>Projects Lead</t>
  </si>
  <si>
    <t>Sales Manager</t>
  </si>
  <si>
    <t>Sales Projects</t>
  </si>
  <si>
    <t>Sales Representative</t>
  </si>
  <si>
    <t>Marketing</t>
  </si>
  <si>
    <t>Procurement</t>
  </si>
  <si>
    <t>Sales</t>
  </si>
  <si>
    <t>GOOD NEWS!  🧐 The invisible dollar sign issue is fixed! We can see the $ and we can remove them. Go to the first dependent drop-down and remove the dollar signs. Then copy the data validation down.</t>
  </si>
  <si>
    <t>Challenge: Dependent Drop-Down List</t>
  </si>
  <si>
    <t>The drop-down list for App should be based on selected Division</t>
  </si>
  <si>
    <t>Master Data</t>
  </si>
  <si>
    <t>Raw Data</t>
  </si>
  <si>
    <t>Division</t>
  </si>
  <si>
    <t>App</t>
  </si>
  <si>
    <t>Region</t>
  </si>
  <si>
    <t>Profit</t>
  </si>
  <si>
    <t>Select Division</t>
  </si>
  <si>
    <t>Game</t>
  </si>
  <si>
    <t>North America</t>
  </si>
  <si>
    <t>Select App</t>
  </si>
  <si>
    <t>Australia</t>
  </si>
  <si>
    <t>South America</t>
  </si>
  <si>
    <t>Total Sales</t>
  </si>
  <si>
    <t>Europe</t>
  </si>
  <si>
    <t>Total Profit</t>
  </si>
  <si>
    <t>Productivity</t>
  </si>
  <si>
    <t>Asia</t>
  </si>
  <si>
    <t>Utility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</si>
</sst>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;;;"/>
    <numFmt numFmtId="165" formatCode="#;(#);"/>
    <numFmt numFmtId="166" formatCode="[color10]#,##0;[red](#,##0);"/>
    <numFmt numFmtId="167" formatCode="$* #,##0;$* -#,##0"/>
    <numFmt numFmtId="168" formatCode="#,##0 &quot;Win&quot;;-#,##0 &quot;Loss&quot;; -"/>
    <numFmt numFmtId="169" formatCode="#,##0.00,,"/>
    <numFmt numFmtId="170" formatCode="&quot;$&quot;#,##0"/>
    <numFmt numFmtId="171" formatCode="[color43]◼;[color53]◼;"/>
    <numFmt numFmtId="172" formatCode="🤩;😔;"/>
    <numFmt numFmtId="173" formatCode="00"/>
    <numFmt numFmtId="174" formatCode="0.0%* [color43]◼;-0.0%* [color53]◼;"/>
    <numFmt numFmtId="175" formatCode="M/d/yyyy"/>
    <numFmt numFmtId="176" formatCode="&quot;$&quot;#,##0.00"/>
  </numFmts>
  <fonts count="16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color rgb="FFFFFFFF"/>
      <name val="Roboto"/>
      <scheme val="minor"/>
    </font>
    <font>
      <b/>
      <color theme="1"/>
      <name val="Roboto"/>
    </font>
    <font>
      <color theme="1"/>
      <name val="Roboto"/>
    </font>
    <font>
      <sz val="8.0"/>
      <color theme="1"/>
      <name val="Roboto"/>
      <scheme val="minor"/>
    </font>
    <font>
      <sz val="9.0"/>
      <color theme="1"/>
      <name val="Roboto"/>
      <scheme val="minor"/>
    </font>
    <font>
      <u/>
      <color rgb="FF0000FF"/>
    </font>
    <font>
      <b/>
      <color rgb="FF666666"/>
      <name val="Roboto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FAEC"/>
        <bgColor rgb="FFFFFAEC"/>
      </patternFill>
    </fill>
    <fill>
      <patternFill patternType="solid">
        <fgColor rgb="FFF4FFF9"/>
        <bgColor rgb="FFF4FFF9"/>
      </patternFill>
    </fill>
  </fills>
  <borders count="10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3E50B3"/>
      </bottom>
    </border>
    <border>
      <bottom style="thick">
        <color rgb="FF02A846"/>
      </bottom>
    </border>
    <border>
      <bottom style="thin">
        <color rgb="FFCCCCCC"/>
      </bottom>
    </border>
    <border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4" fontId="9" numFmtId="0" xfId="0" applyAlignment="1" applyFill="1" applyFont="1">
      <alignment readingOrder="0"/>
    </xf>
    <xf borderId="0" fillId="4" fontId="1" numFmtId="0" xfId="0" applyFont="1"/>
    <xf borderId="4" fillId="0" fontId="10" numFmtId="0" xfId="0" applyAlignment="1" applyBorder="1" applyFont="1">
      <alignment horizontal="left" readingOrder="0" vertical="bottom"/>
    </xf>
    <xf borderId="0" fillId="5" fontId="1" numFmtId="0" xfId="0" applyAlignment="1" applyFill="1" applyFont="1">
      <alignment horizontal="left" shrinkToFit="0" wrapText="1"/>
    </xf>
    <xf borderId="5" fillId="0" fontId="1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readingOrder="0"/>
    </xf>
    <xf borderId="0" fillId="5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6" fillId="0" fontId="10" numFmtId="170" xfId="0" applyAlignment="1" applyBorder="1" applyFont="1" applyNumberFormat="1">
      <alignment vertical="bottom"/>
    </xf>
    <xf borderId="6" fillId="0" fontId="11" numFmtId="170" xfId="0" applyAlignment="1" applyBorder="1" applyFont="1" applyNumberFormat="1">
      <alignment vertical="bottom"/>
    </xf>
    <xf borderId="6" fillId="0" fontId="11" numFmtId="170" xfId="0" applyAlignment="1" applyBorder="1" applyFont="1" applyNumberFormat="1">
      <alignment readingOrder="0" vertical="bottom"/>
    </xf>
    <xf borderId="0" fillId="0" fontId="12" numFmtId="171" xfId="0" applyAlignment="1" applyFont="1" applyNumberFormat="1">
      <alignment horizontal="left"/>
    </xf>
    <xf borderId="0" fillId="0" fontId="1" numFmtId="172" xfId="0" applyFont="1" applyNumberFormat="1"/>
    <xf borderId="0" fillId="0" fontId="1" numFmtId="173" xfId="0" applyAlignment="1" applyFont="1" applyNumberFormat="1">
      <alignment readingOrder="0"/>
    </xf>
    <xf borderId="0" fillId="0" fontId="1" numFmtId="4" xfId="0" applyFont="1" applyNumberFormat="1"/>
    <xf borderId="7" fillId="0" fontId="6" numFmtId="0" xfId="0" applyAlignment="1" applyBorder="1" applyFont="1">
      <alignment readingOrder="0"/>
    </xf>
    <xf borderId="7" fillId="0" fontId="6" numFmtId="0" xfId="0" applyBorder="1" applyFont="1"/>
    <xf borderId="0" fillId="0" fontId="1" numFmtId="0" xfId="0" applyAlignment="1" applyFont="1">
      <alignment readingOrder="0" shrinkToFit="0" wrapText="1"/>
    </xf>
    <xf borderId="6" fillId="0" fontId="13" numFmtId="174" xfId="0" applyBorder="1" applyFont="1" applyNumberFormat="1"/>
    <xf borderId="8" fillId="0" fontId="13" numFmtId="174" xfId="0" applyBorder="1" applyFont="1" applyNumberFormat="1"/>
    <xf borderId="0" fillId="0" fontId="14" numFmtId="0" xfId="0" applyAlignment="1" applyFont="1">
      <alignment readingOrder="0" shrinkToFit="0" wrapText="1"/>
    </xf>
    <xf borderId="9" fillId="6" fontId="1" numFmtId="0" xfId="0" applyAlignment="1" applyBorder="1" applyFill="1" applyFont="1">
      <alignment readingOrder="0"/>
    </xf>
    <xf borderId="0" fillId="0" fontId="6" numFmtId="0" xfId="0" applyAlignment="1" applyFont="1">
      <alignment horizontal="right"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9" xfId="0" applyFont="1" applyNumberFormat="1"/>
    <xf borderId="0" fillId="0" fontId="1" numFmtId="175" xfId="0" applyFont="1" applyNumberFormat="1"/>
    <xf borderId="5" fillId="0" fontId="10" numFmtId="0" xfId="0" applyAlignment="1" applyBorder="1" applyFont="1">
      <alignment horizontal="left" readingOrder="0" vertical="bottom"/>
    </xf>
    <xf borderId="9" fillId="6" fontId="6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1"/>
    </xf>
    <xf borderId="7" fillId="0" fontId="1" numFmtId="0" xfId="0" applyBorder="1" applyFont="1"/>
    <xf borderId="0" fillId="0" fontId="15" numFmtId="0" xfId="0" applyAlignment="1" applyFont="1">
      <alignment readingOrder="0"/>
    </xf>
    <xf borderId="0" fillId="0" fontId="10" numFmtId="0" xfId="0" applyAlignment="1" applyFont="1">
      <alignment horizontal="left" readingOrder="0" vertical="bottom"/>
    </xf>
    <xf borderId="0" fillId="0" fontId="1" numFmtId="3" xfId="0" applyAlignment="1" applyFont="1" applyNumberFormat="1">
      <alignment readingOrder="0"/>
    </xf>
    <xf borderId="9" fillId="7" fontId="1" numFmtId="176" xfId="0" applyAlignment="1" applyBorder="1" applyFill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>
        <b/>
      </font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microsoft.com/en-us/previous-versions/office/developer/office-2007/cc296089(v=office.12)?redirectedfrom=MSD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3"/>
      <c r="C10" s="14"/>
      <c r="D10" s="13"/>
      <c r="E10" s="15"/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 ht="9.75" customHeight="1">
      <c r="A12" s="4"/>
      <c r="B12" s="4"/>
      <c r="C12" s="16"/>
      <c r="D12" s="4"/>
      <c r="E12" s="4"/>
      <c r="F12" s="4"/>
      <c r="G12" s="4"/>
    </row>
  </sheetData>
  <mergeCells count="2">
    <mergeCell ref="B1:G1"/>
    <mergeCell ref="B2:G2"/>
  </mergeCells>
  <conditionalFormatting sqref="B5:F11">
    <cfRule type="expression" dxfId="0" priority="1">
      <formula>$E5="Done &amp; Understood"</formula>
    </cfRule>
  </conditionalFormatting>
  <conditionalFormatting sqref="B5:F11">
    <cfRule type="expression" dxfId="1" priority="2">
      <formula>$E5="Done but needs practice"</formula>
    </cfRule>
  </conditionalFormatting>
  <conditionalFormatting sqref="B5:F11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9">
      <formula1>"Select One…,Done &amp; Understood,Done but needs practice,Review Later"</formula1>
    </dataValidation>
  </dataValidations>
  <hyperlinks>
    <hyperlink display="LINK" location="'Custom Format'!A1" ref="B5"/>
    <hyperlink display="LINK" location="'Conditional Advanced '!A1" ref="B6"/>
    <hyperlink display="LINK" location="'Challenge #1'!A1" ref="B7"/>
    <hyperlink display="LINK" location="'Dep. DropDown'!A1" ref="B8"/>
    <hyperlink display="LINK" location="'Challenge #2'!A1" ref="B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7.13"/>
    <col customWidth="1" min="2" max="2" width="1.25"/>
    <col customWidth="1" min="4" max="4" width="1.25"/>
    <col customWidth="1" min="6" max="6" width="1.25"/>
    <col customWidth="1" min="8" max="8" width="1.25"/>
    <col customWidth="1" min="9" max="9" width="13.13"/>
    <col customWidth="1" min="10" max="10" width="1.25"/>
    <col customWidth="1" min="12" max="12" width="1.25"/>
    <col customWidth="1" min="14" max="14" width="26.5"/>
    <col customWidth="1" min="15" max="15" width="2.75"/>
    <col customWidth="1" min="20" max="20" width="7.88"/>
    <col customWidth="1" min="21" max="21" width="3.25"/>
  </cols>
  <sheetData>
    <row r="1">
      <c r="A1" s="17" t="s">
        <v>12</v>
      </c>
      <c r="B1" s="18"/>
      <c r="C1" s="18"/>
      <c r="D1" s="18"/>
      <c r="E1" s="18"/>
      <c r="F1" s="18"/>
      <c r="O1" s="19" t="s">
        <v>13</v>
      </c>
      <c r="P1" s="17" t="s">
        <v>14</v>
      </c>
      <c r="Q1" s="18"/>
      <c r="R1" s="18"/>
      <c r="S1" s="18"/>
      <c r="T1" s="18"/>
    </row>
    <row r="2">
      <c r="O2" s="20"/>
    </row>
    <row r="3">
      <c r="A3" s="21" t="s">
        <v>15</v>
      </c>
      <c r="B3" s="22"/>
      <c r="C3" s="23" t="s">
        <v>16</v>
      </c>
      <c r="D3" s="22"/>
      <c r="E3" s="23" t="s">
        <v>17</v>
      </c>
      <c r="F3" s="22"/>
      <c r="G3" s="23" t="s">
        <v>18</v>
      </c>
      <c r="H3" s="22"/>
      <c r="I3" s="23" t="s">
        <v>19</v>
      </c>
      <c r="J3" s="22"/>
      <c r="K3" s="23" t="s">
        <v>20</v>
      </c>
      <c r="L3" s="22"/>
      <c r="M3" s="23" t="s">
        <v>21</v>
      </c>
      <c r="O3" s="20"/>
      <c r="R3" s="21" t="s">
        <v>22</v>
      </c>
      <c r="S3" s="21" t="s">
        <v>23</v>
      </c>
    </row>
    <row r="4">
      <c r="A4" s="24">
        <v>6500.0</v>
      </c>
      <c r="B4" s="25"/>
      <c r="C4" s="26">
        <v>6500.0</v>
      </c>
      <c r="D4" s="25"/>
      <c r="E4" s="27">
        <v>6500.0</v>
      </c>
      <c r="F4" s="25"/>
      <c r="G4" s="28">
        <v>6500.0</v>
      </c>
      <c r="H4" s="25"/>
      <c r="I4" s="29">
        <v>6500.0</v>
      </c>
      <c r="J4" s="25"/>
      <c r="K4" s="30">
        <v>6500.0</v>
      </c>
      <c r="L4" s="25"/>
      <c r="M4" s="31">
        <v>6500000.0</v>
      </c>
      <c r="O4" s="20"/>
      <c r="Q4" s="32" t="s">
        <v>24</v>
      </c>
      <c r="R4" s="33">
        <v>4220.0</v>
      </c>
      <c r="S4" s="34">
        <v>5200.0</v>
      </c>
      <c r="T4" s="35">
        <f t="shared" ref="T4:T8" si="1">R4-S4</f>
        <v>-980</v>
      </c>
      <c r="U4" s="36">
        <f t="shared" ref="U4:U8" si="2">R4-S4</f>
        <v>-980</v>
      </c>
    </row>
    <row r="5">
      <c r="A5" s="24">
        <v>0.0</v>
      </c>
      <c r="B5" s="25"/>
      <c r="C5" s="26">
        <v>0.0</v>
      </c>
      <c r="D5" s="25"/>
      <c r="E5" s="27">
        <v>0.0</v>
      </c>
      <c r="F5" s="25"/>
      <c r="G5" s="28">
        <v>0.0</v>
      </c>
      <c r="H5" s="25"/>
      <c r="I5" s="29">
        <v>0.0</v>
      </c>
      <c r="J5" s="25"/>
      <c r="K5" s="30">
        <v>0.0</v>
      </c>
      <c r="L5" s="25"/>
      <c r="M5" s="31">
        <v>0.0</v>
      </c>
      <c r="O5" s="20"/>
      <c r="Q5" s="32" t="s">
        <v>25</v>
      </c>
      <c r="R5" s="33">
        <v>4230.0</v>
      </c>
      <c r="S5" s="34">
        <v>3500.0</v>
      </c>
      <c r="T5" s="35">
        <f t="shared" si="1"/>
        <v>730</v>
      </c>
      <c r="U5" s="36">
        <f t="shared" si="2"/>
        <v>730</v>
      </c>
    </row>
    <row r="6">
      <c r="A6" s="24">
        <v>-567.0</v>
      </c>
      <c r="B6" s="25"/>
      <c r="C6" s="26">
        <v>-567.0</v>
      </c>
      <c r="D6" s="25"/>
      <c r="E6" s="27">
        <v>-567.0</v>
      </c>
      <c r="F6" s="25"/>
      <c r="G6" s="28">
        <v>-567.0</v>
      </c>
      <c r="H6" s="25"/>
      <c r="I6" s="29">
        <v>-567.0</v>
      </c>
      <c r="J6" s="25"/>
      <c r="K6" s="30">
        <v>-567.0</v>
      </c>
      <c r="L6" s="25"/>
      <c r="M6" s="31">
        <v>-9.0E7</v>
      </c>
      <c r="O6" s="20"/>
      <c r="Q6" s="32" t="s">
        <v>26</v>
      </c>
      <c r="R6" s="33">
        <v>4800.0</v>
      </c>
      <c r="S6" s="34">
        <v>5100.0</v>
      </c>
      <c r="T6" s="35">
        <f t="shared" si="1"/>
        <v>-300</v>
      </c>
      <c r="U6" s="36">
        <f t="shared" si="2"/>
        <v>-300</v>
      </c>
    </row>
    <row r="7">
      <c r="B7" s="25"/>
      <c r="D7" s="25"/>
      <c r="F7" s="25"/>
      <c r="H7" s="25"/>
      <c r="J7" s="25"/>
      <c r="L7" s="25"/>
      <c r="O7" s="20"/>
      <c r="Q7" s="32" t="s">
        <v>27</v>
      </c>
      <c r="R7" s="33">
        <v>6900.0</v>
      </c>
      <c r="S7" s="34">
        <v>9800.0</v>
      </c>
      <c r="T7" s="35">
        <f t="shared" si="1"/>
        <v>-2900</v>
      </c>
      <c r="U7" s="36">
        <f t="shared" si="2"/>
        <v>-2900</v>
      </c>
    </row>
    <row r="8">
      <c r="O8" s="20"/>
      <c r="Q8" s="32" t="s">
        <v>28</v>
      </c>
      <c r="R8" s="33">
        <v>610.0</v>
      </c>
      <c r="S8" s="34">
        <v>400.0</v>
      </c>
      <c r="T8" s="35">
        <f t="shared" si="1"/>
        <v>210</v>
      </c>
      <c r="U8" s="36">
        <f t="shared" si="2"/>
        <v>210</v>
      </c>
    </row>
    <row r="9">
      <c r="C9" s="37"/>
      <c r="K9" s="38"/>
      <c r="O9" s="20"/>
    </row>
    <row r="10">
      <c r="O10" s="20"/>
    </row>
    <row r="11" outlineLevel="1">
      <c r="A11" s="39" t="s">
        <v>29</v>
      </c>
      <c r="B11" s="39" t="s">
        <v>30</v>
      </c>
      <c r="C11" s="40"/>
      <c r="D11" s="39"/>
      <c r="E11" s="39"/>
      <c r="F11" s="39"/>
      <c r="G11" s="39"/>
      <c r="H11" s="39"/>
      <c r="I11" s="39"/>
      <c r="J11" s="39"/>
      <c r="O11" s="20"/>
      <c r="R11" s="21" t="s">
        <v>22</v>
      </c>
      <c r="S11" s="21" t="s">
        <v>23</v>
      </c>
    </row>
    <row r="12" outlineLevel="1">
      <c r="A12" s="24" t="s">
        <v>31</v>
      </c>
      <c r="B12" s="41" t="s">
        <v>32</v>
      </c>
      <c r="O12" s="20"/>
      <c r="Q12" s="32" t="s">
        <v>24</v>
      </c>
      <c r="R12" s="33">
        <v>4220.0</v>
      </c>
      <c r="S12" s="34">
        <v>5200.0</v>
      </c>
      <c r="T12" s="42">
        <f t="shared" ref="T12:T16" si="3">R12/S12-1</f>
        <v>-0.1884615385</v>
      </c>
    </row>
    <row r="13" outlineLevel="1">
      <c r="A13" s="24" t="s">
        <v>33</v>
      </c>
      <c r="B13" s="41" t="s">
        <v>34</v>
      </c>
      <c r="O13" s="20"/>
      <c r="Q13" s="32" t="s">
        <v>25</v>
      </c>
      <c r="R13" s="33">
        <v>4230.0</v>
      </c>
      <c r="S13" s="34">
        <v>3500.0</v>
      </c>
      <c r="T13" s="43">
        <f t="shared" si="3"/>
        <v>0.2085714286</v>
      </c>
    </row>
    <row r="14" outlineLevel="1">
      <c r="A14" s="24" t="s">
        <v>35</v>
      </c>
      <c r="B14" s="41" t="s">
        <v>36</v>
      </c>
      <c r="O14" s="20"/>
      <c r="Q14" s="32" t="s">
        <v>26</v>
      </c>
      <c r="R14" s="33">
        <v>4800.0</v>
      </c>
      <c r="S14" s="34">
        <v>5100.0</v>
      </c>
      <c r="T14" s="43">
        <f t="shared" si="3"/>
        <v>-0.05882352941</v>
      </c>
    </row>
    <row r="15" outlineLevel="1">
      <c r="A15" s="24">
        <v>0.0</v>
      </c>
      <c r="B15" s="41" t="s">
        <v>37</v>
      </c>
      <c r="O15" s="20"/>
      <c r="Q15" s="32" t="s">
        <v>27</v>
      </c>
      <c r="R15" s="33">
        <v>6900.0</v>
      </c>
      <c r="S15" s="34">
        <v>9800.0</v>
      </c>
      <c r="T15" s="43">
        <f t="shared" si="3"/>
        <v>-0.2959183673</v>
      </c>
    </row>
    <row r="16" outlineLevel="1">
      <c r="A16" s="24" t="s">
        <v>38</v>
      </c>
      <c r="B16" s="41" t="s">
        <v>39</v>
      </c>
      <c r="O16" s="20"/>
      <c r="Q16" s="32" t="s">
        <v>28</v>
      </c>
      <c r="R16" s="33">
        <v>610.0</v>
      </c>
      <c r="S16" s="34">
        <v>400.0</v>
      </c>
      <c r="T16" s="43">
        <f t="shared" si="3"/>
        <v>0.525</v>
      </c>
    </row>
    <row r="17" outlineLevel="1">
      <c r="A17" s="24" t="s">
        <v>40</v>
      </c>
      <c r="B17" s="41" t="s">
        <v>41</v>
      </c>
      <c r="O17" s="20"/>
    </row>
    <row r="18" outlineLevel="1">
      <c r="A18" s="24" t="s">
        <v>42</v>
      </c>
      <c r="B18" s="41" t="s">
        <v>43</v>
      </c>
      <c r="O18" s="20"/>
    </row>
    <row r="19" outlineLevel="1">
      <c r="A19" s="24" t="s">
        <v>44</v>
      </c>
      <c r="B19" s="41" t="s">
        <v>45</v>
      </c>
      <c r="O19" s="20"/>
    </row>
    <row r="20" outlineLevel="1">
      <c r="A20" s="24" t="s">
        <v>46</v>
      </c>
      <c r="B20" s="41" t="s">
        <v>47</v>
      </c>
      <c r="O20" s="20"/>
    </row>
    <row r="21" outlineLevel="1">
      <c r="A21" s="24" t="s">
        <v>48</v>
      </c>
      <c r="B21" s="41" t="s">
        <v>49</v>
      </c>
      <c r="O21" s="20"/>
    </row>
    <row r="22" outlineLevel="1">
      <c r="A22" s="24" t="s">
        <v>50</v>
      </c>
      <c r="B22" s="41" t="s">
        <v>51</v>
      </c>
      <c r="O22" s="20"/>
    </row>
    <row r="23" outlineLevel="1">
      <c r="A23" s="24" t="s">
        <v>52</v>
      </c>
      <c r="B23" s="41" t="s">
        <v>53</v>
      </c>
      <c r="O23" s="20"/>
    </row>
    <row r="24" outlineLevel="1">
      <c r="A24" s="41" t="s">
        <v>54</v>
      </c>
      <c r="B24" s="44" t="s">
        <v>55</v>
      </c>
      <c r="O24" s="20"/>
    </row>
    <row r="25" outlineLevel="1">
      <c r="A25" s="24" t="s">
        <v>56</v>
      </c>
      <c r="B25" s="41" t="s">
        <v>57</v>
      </c>
      <c r="O25" s="20"/>
    </row>
    <row r="26" outlineLevel="1">
      <c r="O26" s="20"/>
    </row>
  </sheetData>
  <mergeCells count="14">
    <mergeCell ref="B19:J19"/>
    <mergeCell ref="B20:J20"/>
    <mergeCell ref="B21:J21"/>
    <mergeCell ref="B22:J22"/>
    <mergeCell ref="B23:J23"/>
    <mergeCell ref="B24:J24"/>
    <mergeCell ref="B25:J25"/>
    <mergeCell ref="B12:J12"/>
    <mergeCell ref="B13:J13"/>
    <mergeCell ref="B14:J14"/>
    <mergeCell ref="B15:J15"/>
    <mergeCell ref="B16:J16"/>
    <mergeCell ref="B17:J17"/>
    <mergeCell ref="B18:J18"/>
  </mergeCells>
  <conditionalFormatting sqref="R4:S8 R12:S16">
    <cfRule type="expression" dxfId="3" priority="1">
      <formula>R$5&amp;$I4=$L$3&amp;$M$3</formula>
    </cfRule>
  </conditionalFormatting>
  <hyperlinks>
    <hyperlink r:id="rId1" ref="B2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5"/>
    <col customWidth="1" min="2" max="2" width="9.13"/>
    <col customWidth="1" min="3" max="3" width="7.63"/>
    <col customWidth="1" min="4" max="4" width="10.13"/>
    <col customWidth="1" min="5" max="5" width="12.38"/>
    <col customWidth="1" min="6" max="6" width="7.0"/>
    <col customWidth="1" min="7" max="7" width="10.0"/>
    <col customWidth="1" min="8" max="8" width="4.63"/>
    <col customWidth="1" min="9" max="9" width="12.75"/>
    <col customWidth="1" min="19" max="19" width="15.75"/>
  </cols>
  <sheetData>
    <row r="1">
      <c r="A1" s="17" t="s">
        <v>58</v>
      </c>
      <c r="B1" s="18"/>
      <c r="C1" s="18"/>
      <c r="D1" s="18"/>
      <c r="E1" s="18"/>
      <c r="F1" s="18"/>
      <c r="I1" s="7"/>
    </row>
    <row r="2">
      <c r="A2" s="24"/>
    </row>
    <row r="3">
      <c r="A3" s="24" t="s">
        <v>59</v>
      </c>
      <c r="I3" s="24" t="s">
        <v>60</v>
      </c>
      <c r="L3" s="45" t="s">
        <v>61</v>
      </c>
      <c r="M3" s="45" t="s">
        <v>27</v>
      </c>
    </row>
    <row r="4">
      <c r="A4" s="24" t="s">
        <v>62</v>
      </c>
    </row>
    <row r="5">
      <c r="A5" s="24" t="s">
        <v>63</v>
      </c>
      <c r="J5" s="21" t="s">
        <v>64</v>
      </c>
      <c r="K5" s="21" t="s">
        <v>65</v>
      </c>
      <c r="L5" s="21" t="s">
        <v>61</v>
      </c>
      <c r="M5" s="21" t="s">
        <v>66</v>
      </c>
      <c r="N5" s="21" t="s">
        <v>67</v>
      </c>
      <c r="O5" s="21" t="s">
        <v>68</v>
      </c>
    </row>
    <row r="6">
      <c r="A6" s="24" t="s">
        <v>69</v>
      </c>
      <c r="I6" s="32" t="s">
        <v>24</v>
      </c>
      <c r="J6" s="33">
        <v>9150.0</v>
      </c>
      <c r="K6" s="33">
        <v>8750.0</v>
      </c>
      <c r="L6" s="33">
        <v>6840.0</v>
      </c>
      <c r="M6" s="33">
        <v>6200.0</v>
      </c>
      <c r="N6" s="33">
        <v>4220.0</v>
      </c>
      <c r="O6" s="33">
        <v>6800.0</v>
      </c>
    </row>
    <row r="7">
      <c r="I7" s="32" t="s">
        <v>25</v>
      </c>
      <c r="J7" s="33">
        <v>10020.0</v>
      </c>
      <c r="K7" s="33">
        <v>6220.0</v>
      </c>
      <c r="L7" s="33">
        <v>9260.0</v>
      </c>
      <c r="M7" s="33">
        <v>9900.0</v>
      </c>
      <c r="N7" s="33">
        <v>4230.0</v>
      </c>
      <c r="O7" s="33">
        <v>16900.0</v>
      </c>
    </row>
    <row r="8">
      <c r="C8" s="46" t="s">
        <v>70</v>
      </c>
      <c r="I8" s="32" t="s">
        <v>26</v>
      </c>
      <c r="J8" s="33">
        <v>17500.0</v>
      </c>
      <c r="K8" s="33">
        <v>15000.0</v>
      </c>
      <c r="L8" s="33">
        <v>15800.0</v>
      </c>
      <c r="M8" s="33">
        <v>8500.0</v>
      </c>
      <c r="N8" s="33">
        <v>4800.0</v>
      </c>
      <c r="O8" s="33">
        <v>16680.0</v>
      </c>
    </row>
    <row r="9">
      <c r="B9" s="24" t="s">
        <v>71</v>
      </c>
      <c r="C9" s="47">
        <v>0.0</v>
      </c>
      <c r="I9" s="32" t="s">
        <v>27</v>
      </c>
      <c r="J9" s="33">
        <v>6620.0</v>
      </c>
      <c r="K9" s="33">
        <v>6860.0</v>
      </c>
      <c r="L9" s="33">
        <v>6050.0</v>
      </c>
      <c r="M9" s="34">
        <v>0.0</v>
      </c>
      <c r="N9" s="33">
        <v>6900.0</v>
      </c>
      <c r="O9" s="33">
        <v>3080.0</v>
      </c>
    </row>
    <row r="10">
      <c r="B10" s="24" t="s">
        <v>72</v>
      </c>
      <c r="C10" s="47">
        <v>0.8</v>
      </c>
      <c r="I10" s="32" t="s">
        <v>28</v>
      </c>
      <c r="J10" s="33">
        <v>550.0</v>
      </c>
      <c r="K10" s="33">
        <v>450.0</v>
      </c>
      <c r="L10" s="33">
        <v>420.0</v>
      </c>
      <c r="M10" s="33">
        <v>350.0</v>
      </c>
      <c r="N10" s="33">
        <v>610.0</v>
      </c>
      <c r="O10" s="33">
        <v>540.0</v>
      </c>
    </row>
    <row r="11">
      <c r="B11" s="24" t="s">
        <v>73</v>
      </c>
      <c r="C11" s="47"/>
    </row>
    <row r="12">
      <c r="B12" s="24" t="s">
        <v>74</v>
      </c>
      <c r="C12" s="47">
        <v>0.9</v>
      </c>
      <c r="J12" s="48" t="b">
        <f t="shared" ref="J12:O12" si="1">J$5&amp;$I6=$L$3&amp;$M$3</f>
        <v>0</v>
      </c>
      <c r="K12" s="48" t="b">
        <f t="shared" si="1"/>
        <v>0</v>
      </c>
      <c r="L12" s="48" t="b">
        <f t="shared" si="1"/>
        <v>0</v>
      </c>
      <c r="M12" s="48" t="b">
        <f t="shared" si="1"/>
        <v>0</v>
      </c>
      <c r="N12" s="48" t="b">
        <f t="shared" si="1"/>
        <v>0</v>
      </c>
      <c r="O12" s="48" t="b">
        <f t="shared" si="1"/>
        <v>0</v>
      </c>
    </row>
    <row r="13">
      <c r="J13" s="48" t="b">
        <f t="shared" ref="J13:O13" si="2">J$5&amp;$I7=$L$3&amp;$M$3</f>
        <v>0</v>
      </c>
      <c r="K13" s="48" t="b">
        <f t="shared" si="2"/>
        <v>0</v>
      </c>
      <c r="L13" s="48" t="b">
        <f t="shared" si="2"/>
        <v>0</v>
      </c>
      <c r="M13" s="48" t="b">
        <f t="shared" si="2"/>
        <v>0</v>
      </c>
      <c r="N13" s="48" t="b">
        <f t="shared" si="2"/>
        <v>0</v>
      </c>
      <c r="O13" s="48" t="b">
        <f t="shared" si="2"/>
        <v>0</v>
      </c>
    </row>
    <row r="14">
      <c r="B14" s="49">
        <f t="shared" ref="B14:C14" si="3">$C9</f>
        <v>0</v>
      </c>
      <c r="C14" s="49">
        <f t="shared" si="3"/>
        <v>0</v>
      </c>
      <c r="J14" s="48" t="b">
        <f t="shared" ref="J14:O14" si="4">J$5&amp;$I8=$L$3&amp;$M$3</f>
        <v>0</v>
      </c>
      <c r="K14" s="48" t="b">
        <f t="shared" si="4"/>
        <v>0</v>
      </c>
      <c r="L14" s="48" t="b">
        <f t="shared" si="4"/>
        <v>0</v>
      </c>
      <c r="M14" s="48" t="b">
        <f t="shared" si="4"/>
        <v>0</v>
      </c>
      <c r="N14" s="48" t="b">
        <f t="shared" si="4"/>
        <v>0</v>
      </c>
      <c r="O14" s="48" t="b">
        <f t="shared" si="4"/>
        <v>0</v>
      </c>
    </row>
    <row r="15">
      <c r="B15" s="49">
        <f t="shared" ref="B15:C15" si="5">$C10</f>
        <v>0.8</v>
      </c>
      <c r="C15" s="49">
        <f t="shared" si="5"/>
        <v>0.8</v>
      </c>
      <c r="J15" s="48" t="b">
        <f t="shared" ref="J15:O15" si="6">J$5&amp;$I9=$L$3&amp;$M$3</f>
        <v>0</v>
      </c>
      <c r="K15" s="48" t="b">
        <f t="shared" si="6"/>
        <v>0</v>
      </c>
      <c r="L15" s="48" t="b">
        <f t="shared" si="6"/>
        <v>1</v>
      </c>
      <c r="M15" s="48" t="b">
        <f t="shared" si="6"/>
        <v>0</v>
      </c>
      <c r="N15" s="48" t="b">
        <f t="shared" si="6"/>
        <v>0</v>
      </c>
      <c r="O15" s="48" t="b">
        <f t="shared" si="6"/>
        <v>0</v>
      </c>
    </row>
    <row r="16">
      <c r="B16" s="49" t="str">
        <f t="shared" ref="B16:C16" si="7">$C11</f>
        <v/>
      </c>
      <c r="C16" s="49" t="str">
        <f t="shared" si="7"/>
        <v/>
      </c>
      <c r="J16" s="48" t="b">
        <f t="shared" ref="J16:O16" si="8">J$5&amp;$I10=$L$3&amp;$M$3</f>
        <v>0</v>
      </c>
      <c r="K16" s="48" t="b">
        <f t="shared" si="8"/>
        <v>0</v>
      </c>
      <c r="L16" s="48" t="b">
        <f t="shared" si="8"/>
        <v>0</v>
      </c>
      <c r="M16" s="48" t="b">
        <f t="shared" si="8"/>
        <v>0</v>
      </c>
      <c r="N16" s="48" t="b">
        <f t="shared" si="8"/>
        <v>0</v>
      </c>
      <c r="O16" s="48" t="b">
        <f t="shared" si="8"/>
        <v>0</v>
      </c>
    </row>
    <row r="17">
      <c r="B17" s="49">
        <f t="shared" ref="B17:C17" si="9">$C12</f>
        <v>0.9</v>
      </c>
      <c r="C17" s="49">
        <f t="shared" si="9"/>
        <v>0.9</v>
      </c>
    </row>
    <row r="19">
      <c r="B19" s="48" t="b">
        <f t="shared" ref="B19:C19" si="10">$C9&gt;0</f>
        <v>0</v>
      </c>
      <c r="C19" s="48" t="b">
        <f t="shared" si="10"/>
        <v>0</v>
      </c>
      <c r="D19" s="50"/>
    </row>
    <row r="20">
      <c r="B20" s="48" t="b">
        <f t="shared" ref="B20:C20" si="11">$C10&gt;0</f>
        <v>1</v>
      </c>
      <c r="C20" s="48" t="b">
        <f t="shared" si="11"/>
        <v>1</v>
      </c>
      <c r="D20" s="50"/>
    </row>
    <row r="21">
      <c r="B21" s="48" t="b">
        <f t="shared" ref="B21:C21" si="12">$C11&gt;0</f>
        <v>0</v>
      </c>
      <c r="C21" s="48" t="b">
        <f t="shared" si="12"/>
        <v>0</v>
      </c>
      <c r="D21" s="50"/>
    </row>
    <row r="22">
      <c r="B22" s="48" t="b">
        <f t="shared" ref="B22:C22" si="13">$C12&gt;0</f>
        <v>1</v>
      </c>
      <c r="C22" s="48" t="b">
        <f t="shared" si="13"/>
        <v>1</v>
      </c>
      <c r="D22" s="50"/>
    </row>
    <row r="23">
      <c r="D23" s="50"/>
    </row>
    <row r="24">
      <c r="D24" s="50"/>
    </row>
    <row r="25">
      <c r="D25" s="50"/>
    </row>
    <row r="26">
      <c r="D26" s="50"/>
    </row>
    <row r="27">
      <c r="D27" s="50"/>
    </row>
    <row r="28">
      <c r="D28" s="50"/>
    </row>
  </sheetData>
  <conditionalFormatting sqref="B9:C12">
    <cfRule type="expression" dxfId="4" priority="1">
      <formula>$C9</formula>
    </cfRule>
  </conditionalFormatting>
  <conditionalFormatting sqref="J6:O10">
    <cfRule type="expression" dxfId="3" priority="2">
      <formula>J$5&amp;$I6=$L$3&amp;$M$3</formula>
    </cfRule>
  </conditionalFormatting>
  <dataValidations>
    <dataValidation type="list" allowBlank="1" showErrorMessage="1" sqref="L3">
      <formula1>'Conditional Advanced '!$J$5:$O$5</formula1>
    </dataValidation>
    <dataValidation type="list" allowBlank="1" showErrorMessage="1" sqref="M3">
      <formula1>'Conditional Advanced '!$I$6:$I$10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</cols>
  <sheetData>
    <row r="1">
      <c r="A1" s="17" t="s">
        <v>75</v>
      </c>
      <c r="B1" s="18"/>
      <c r="C1" s="18"/>
      <c r="D1" s="18"/>
      <c r="E1" s="18"/>
      <c r="F1" s="18"/>
    </row>
    <row r="2" ht="7.5" customHeight="1"/>
    <row r="3">
      <c r="A3" s="21" t="s">
        <v>76</v>
      </c>
      <c r="B3" s="24"/>
      <c r="C3" s="51" t="s">
        <v>77</v>
      </c>
      <c r="H3" s="21" t="s">
        <v>76</v>
      </c>
      <c r="I3" s="7" t="s">
        <v>78</v>
      </c>
      <c r="J3" s="51" t="s">
        <v>77</v>
      </c>
      <c r="K3" s="7" t="s">
        <v>78</v>
      </c>
    </row>
    <row r="4">
      <c r="A4" s="24" t="s">
        <v>79</v>
      </c>
      <c r="C4" s="24" t="s">
        <v>80</v>
      </c>
      <c r="H4" s="24" t="s">
        <v>79</v>
      </c>
      <c r="I4" s="48" t="b">
        <f t="shared" ref="I4:I20" si="1">isna(VLOOKUP(H4,$C$4:$C$20,1,false))</f>
        <v>1</v>
      </c>
      <c r="J4" s="24" t="s">
        <v>80</v>
      </c>
      <c r="K4" s="48" t="b">
        <f t="shared" ref="K4:K20" si="2">isna(match(J4,$A$4:$A$20,0))</f>
        <v>1</v>
      </c>
    </row>
    <row r="5">
      <c r="A5" s="24" t="s">
        <v>81</v>
      </c>
      <c r="C5" s="24" t="s">
        <v>82</v>
      </c>
      <c r="H5" s="24" t="s">
        <v>81</v>
      </c>
      <c r="I5" s="48" t="b">
        <f t="shared" si="1"/>
        <v>0</v>
      </c>
      <c r="J5" s="24" t="s">
        <v>82</v>
      </c>
      <c r="K5" s="48" t="b">
        <f t="shared" si="2"/>
        <v>1</v>
      </c>
    </row>
    <row r="6">
      <c r="A6" s="24" t="s">
        <v>83</v>
      </c>
      <c r="C6" s="24" t="s">
        <v>84</v>
      </c>
      <c r="H6" s="24" t="s">
        <v>83</v>
      </c>
      <c r="I6" s="48" t="b">
        <f t="shared" si="1"/>
        <v>0</v>
      </c>
      <c r="J6" s="24" t="s">
        <v>84</v>
      </c>
      <c r="K6" s="48" t="b">
        <f t="shared" si="2"/>
        <v>0</v>
      </c>
    </row>
    <row r="7">
      <c r="A7" s="24" t="s">
        <v>85</v>
      </c>
      <c r="C7" s="24" t="s">
        <v>86</v>
      </c>
      <c r="H7" s="24" t="s">
        <v>85</v>
      </c>
      <c r="I7" s="48" t="b">
        <f t="shared" si="1"/>
        <v>0</v>
      </c>
      <c r="J7" s="24" t="s">
        <v>86</v>
      </c>
      <c r="K7" s="48" t="b">
        <f t="shared" si="2"/>
        <v>1</v>
      </c>
    </row>
    <row r="8">
      <c r="A8" s="24" t="s">
        <v>87</v>
      </c>
      <c r="C8" s="24" t="s">
        <v>88</v>
      </c>
      <c r="H8" s="24" t="s">
        <v>87</v>
      </c>
      <c r="I8" s="48" t="b">
        <f t="shared" si="1"/>
        <v>0</v>
      </c>
      <c r="J8" s="24" t="s">
        <v>88</v>
      </c>
      <c r="K8" s="48" t="b">
        <f t="shared" si="2"/>
        <v>0</v>
      </c>
    </row>
    <row r="9">
      <c r="A9" s="24" t="s">
        <v>89</v>
      </c>
      <c r="C9" s="24" t="s">
        <v>81</v>
      </c>
      <c r="H9" s="24" t="s">
        <v>89</v>
      </c>
      <c r="I9" s="48" t="b">
        <f t="shared" si="1"/>
        <v>0</v>
      </c>
      <c r="J9" s="24" t="s">
        <v>81</v>
      </c>
      <c r="K9" s="48" t="b">
        <f t="shared" si="2"/>
        <v>0</v>
      </c>
    </row>
    <row r="10">
      <c r="A10" s="24" t="s">
        <v>84</v>
      </c>
      <c r="C10" s="24" t="s">
        <v>90</v>
      </c>
      <c r="H10" s="24" t="s">
        <v>84</v>
      </c>
      <c r="I10" s="48" t="b">
        <f t="shared" si="1"/>
        <v>0</v>
      </c>
      <c r="J10" s="24" t="s">
        <v>90</v>
      </c>
      <c r="K10" s="48" t="b">
        <f t="shared" si="2"/>
        <v>0</v>
      </c>
    </row>
    <row r="11">
      <c r="A11" s="24" t="s">
        <v>88</v>
      </c>
      <c r="C11" s="24" t="s">
        <v>83</v>
      </c>
      <c r="H11" s="24" t="s">
        <v>88</v>
      </c>
      <c r="I11" s="48" t="b">
        <f t="shared" si="1"/>
        <v>0</v>
      </c>
      <c r="J11" s="24" t="s">
        <v>83</v>
      </c>
      <c r="K11" s="48" t="b">
        <f t="shared" si="2"/>
        <v>0</v>
      </c>
    </row>
    <row r="12">
      <c r="A12" s="24" t="s">
        <v>91</v>
      </c>
      <c r="C12" s="24" t="s">
        <v>92</v>
      </c>
      <c r="H12" s="24" t="s">
        <v>91</v>
      </c>
      <c r="I12" s="48" t="b">
        <f t="shared" si="1"/>
        <v>0</v>
      </c>
      <c r="J12" s="24" t="s">
        <v>92</v>
      </c>
      <c r="K12" s="48" t="b">
        <f t="shared" si="2"/>
        <v>0</v>
      </c>
    </row>
    <row r="13">
      <c r="A13" s="24" t="s">
        <v>93</v>
      </c>
      <c r="C13" s="24" t="s">
        <v>91</v>
      </c>
      <c r="H13" s="24" t="s">
        <v>93</v>
      </c>
      <c r="I13" s="48" t="b">
        <f t="shared" si="1"/>
        <v>1</v>
      </c>
      <c r="J13" s="24" t="s">
        <v>91</v>
      </c>
      <c r="K13" s="48" t="b">
        <f t="shared" si="2"/>
        <v>0</v>
      </c>
    </row>
    <row r="14">
      <c r="A14" s="24" t="s">
        <v>92</v>
      </c>
      <c r="C14" s="24" t="s">
        <v>94</v>
      </c>
      <c r="H14" s="24" t="s">
        <v>92</v>
      </c>
      <c r="I14" s="48" t="b">
        <f t="shared" si="1"/>
        <v>0</v>
      </c>
      <c r="J14" s="24" t="s">
        <v>94</v>
      </c>
      <c r="K14" s="48" t="b">
        <f t="shared" si="2"/>
        <v>0</v>
      </c>
    </row>
    <row r="15">
      <c r="A15" s="24" t="s">
        <v>90</v>
      </c>
      <c r="C15" s="24" t="s">
        <v>87</v>
      </c>
      <c r="H15" s="24" t="s">
        <v>90</v>
      </c>
      <c r="I15" s="48" t="b">
        <f t="shared" si="1"/>
        <v>0</v>
      </c>
      <c r="J15" s="24" t="s">
        <v>87</v>
      </c>
      <c r="K15" s="48" t="b">
        <f t="shared" si="2"/>
        <v>0</v>
      </c>
    </row>
    <row r="16">
      <c r="A16" s="24" t="s">
        <v>95</v>
      </c>
      <c r="C16" s="24" t="s">
        <v>95</v>
      </c>
      <c r="H16" s="24" t="s">
        <v>95</v>
      </c>
      <c r="I16" s="48" t="b">
        <f t="shared" si="1"/>
        <v>0</v>
      </c>
      <c r="J16" s="24" t="s">
        <v>95</v>
      </c>
      <c r="K16" s="48" t="b">
        <f t="shared" si="2"/>
        <v>0</v>
      </c>
    </row>
    <row r="17">
      <c r="A17" s="24" t="s">
        <v>96</v>
      </c>
      <c r="C17" s="24" t="s">
        <v>89</v>
      </c>
      <c r="H17" s="24" t="s">
        <v>96</v>
      </c>
      <c r="I17" s="48" t="b">
        <f t="shared" si="1"/>
        <v>0</v>
      </c>
      <c r="J17" s="24" t="s">
        <v>89</v>
      </c>
      <c r="K17" s="48" t="b">
        <f t="shared" si="2"/>
        <v>0</v>
      </c>
    </row>
    <row r="18">
      <c r="A18" s="24" t="s">
        <v>97</v>
      </c>
      <c r="C18" s="24" t="s">
        <v>85</v>
      </c>
      <c r="H18" s="24" t="s">
        <v>97</v>
      </c>
      <c r="I18" s="48" t="b">
        <f t="shared" si="1"/>
        <v>1</v>
      </c>
      <c r="J18" s="24" t="s">
        <v>85</v>
      </c>
      <c r="K18" s="48" t="b">
        <f t="shared" si="2"/>
        <v>0</v>
      </c>
    </row>
    <row r="19">
      <c r="A19" s="24" t="s">
        <v>94</v>
      </c>
      <c r="C19" s="24" t="s">
        <v>96</v>
      </c>
      <c r="H19" s="24" t="s">
        <v>94</v>
      </c>
      <c r="I19" s="48" t="b">
        <f t="shared" si="1"/>
        <v>0</v>
      </c>
      <c r="J19" s="24" t="s">
        <v>96</v>
      </c>
      <c r="K19" s="48" t="b">
        <f t="shared" si="2"/>
        <v>0</v>
      </c>
    </row>
    <row r="20">
      <c r="A20" s="24" t="s">
        <v>98</v>
      </c>
      <c r="C20" s="24" t="s">
        <v>98</v>
      </c>
      <c r="H20" s="24" t="s">
        <v>98</v>
      </c>
      <c r="I20" s="48" t="b">
        <f t="shared" si="1"/>
        <v>0</v>
      </c>
      <c r="J20" s="24" t="s">
        <v>98</v>
      </c>
      <c r="K20" s="48" t="b">
        <f t="shared" si="2"/>
        <v>0</v>
      </c>
    </row>
  </sheetData>
  <conditionalFormatting sqref="A4:A20 H4:H20">
    <cfRule type="expression" dxfId="5" priority="1">
      <formula>isna(VLOOKUP(A4,$C$4:$C$20,1,false))</formula>
    </cfRule>
  </conditionalFormatting>
  <conditionalFormatting sqref="C4:C20 J4:J20">
    <cfRule type="expression" dxfId="6" priority="2">
      <formula>isna(match(C4,$A$4:$A$20,0))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23.0"/>
    <col collapsed="1" customWidth="1" min="3" max="3" width="2.38"/>
    <col customWidth="1" hidden="1" min="4" max="4" width="9.5" outlineLevel="1"/>
    <col customWidth="1" min="5" max="5" width="4.38"/>
    <col customWidth="1" min="7" max="7" width="17.75"/>
    <col customWidth="1" min="8" max="8" width="3.0"/>
    <col customWidth="1" min="9" max="9" width="4.88"/>
    <col customWidth="1" min="11" max="11" width="17.13"/>
    <col collapsed="1" min="12" max="12" width="12.63"/>
    <col hidden="1" min="13" max="33" width="12.63" outlineLevel="1"/>
  </cols>
  <sheetData>
    <row r="1">
      <c r="A1" s="17" t="s">
        <v>99</v>
      </c>
      <c r="B1" s="18"/>
      <c r="J1" s="17" t="s">
        <v>100</v>
      </c>
      <c r="K1" s="18"/>
      <c r="L1" s="18"/>
      <c r="M1" s="18"/>
    </row>
    <row r="2">
      <c r="D2" s="24" t="s">
        <v>101</v>
      </c>
      <c r="F2" s="21" t="s">
        <v>102</v>
      </c>
      <c r="G2" s="21" t="s">
        <v>103</v>
      </c>
      <c r="I2" s="7"/>
    </row>
    <row r="3">
      <c r="A3" s="52" t="s">
        <v>103</v>
      </c>
      <c r="B3" s="45" t="s">
        <v>104</v>
      </c>
      <c r="D3" s="48" t="str">
        <f t="array" ref="D3:D20">index(F3:G20,,match(A3,F2:G2,0))</f>
        <v>Accountant</v>
      </c>
      <c r="F3" s="24" t="s">
        <v>105</v>
      </c>
      <c r="G3" s="24" t="s">
        <v>106</v>
      </c>
      <c r="J3" s="52" t="s">
        <v>103</v>
      </c>
      <c r="K3" s="45" t="s">
        <v>107</v>
      </c>
      <c r="M3" s="48" t="str">
        <f t="shared" ref="M3:M5" si="1">transpose(index($F$3:$G$20,,match(J3,$F$2:$G$2,0)))</f>
        <v>Accountant</v>
      </c>
      <c r="N3" s="48" t="s">
        <v>108</v>
      </c>
      <c r="O3" s="48" t="s">
        <v>109</v>
      </c>
      <c r="P3" s="48" t="s">
        <v>104</v>
      </c>
      <c r="Q3" s="48" t="s">
        <v>110</v>
      </c>
      <c r="R3" s="48" t="s">
        <v>111</v>
      </c>
      <c r="S3" s="48" t="s">
        <v>112</v>
      </c>
      <c r="T3" s="48" t="s">
        <v>113</v>
      </c>
      <c r="U3" s="48" t="s">
        <v>114</v>
      </c>
      <c r="V3" s="48" t="s">
        <v>107</v>
      </c>
      <c r="W3" s="48" t="s">
        <v>115</v>
      </c>
      <c r="X3" s="48" t="s">
        <v>116</v>
      </c>
      <c r="Y3" s="48" t="s">
        <v>117</v>
      </c>
      <c r="Z3" s="48" t="s">
        <v>118</v>
      </c>
      <c r="AA3" s="48" t="s">
        <v>119</v>
      </c>
      <c r="AB3" s="48"/>
      <c r="AC3" s="48"/>
      <c r="AD3" s="48"/>
    </row>
    <row r="4">
      <c r="D4" s="48" t="s">
        <v>108</v>
      </c>
      <c r="F4" s="24" t="s">
        <v>120</v>
      </c>
      <c r="G4" s="24" t="s">
        <v>108</v>
      </c>
      <c r="J4" s="52" t="s">
        <v>103</v>
      </c>
      <c r="K4" s="45" t="s">
        <v>108</v>
      </c>
      <c r="M4" s="48" t="str">
        <f t="shared" si="1"/>
        <v>Accountant</v>
      </c>
      <c r="N4" s="48" t="s">
        <v>108</v>
      </c>
      <c r="O4" s="48" t="s">
        <v>109</v>
      </c>
      <c r="P4" s="48" t="s">
        <v>104</v>
      </c>
      <c r="Q4" s="48" t="s">
        <v>110</v>
      </c>
      <c r="R4" s="48" t="s">
        <v>111</v>
      </c>
      <c r="S4" s="48" t="s">
        <v>112</v>
      </c>
      <c r="T4" s="48" t="s">
        <v>113</v>
      </c>
      <c r="U4" s="48" t="s">
        <v>114</v>
      </c>
      <c r="V4" s="48" t="s">
        <v>107</v>
      </c>
      <c r="W4" s="48" t="s">
        <v>115</v>
      </c>
      <c r="X4" s="48" t="s">
        <v>116</v>
      </c>
      <c r="Y4" s="48" t="s">
        <v>117</v>
      </c>
      <c r="Z4" s="48" t="s">
        <v>118</v>
      </c>
      <c r="AA4" s="48" t="s">
        <v>119</v>
      </c>
      <c r="AB4" s="48"/>
      <c r="AC4" s="48"/>
      <c r="AD4" s="48"/>
    </row>
    <row r="5">
      <c r="D5" s="48" t="s">
        <v>109</v>
      </c>
      <c r="F5" s="24" t="s">
        <v>121</v>
      </c>
      <c r="G5" s="24" t="s">
        <v>109</v>
      </c>
      <c r="J5" s="52" t="s">
        <v>103</v>
      </c>
      <c r="K5" s="45" t="s">
        <v>104</v>
      </c>
      <c r="M5" s="48" t="str">
        <f t="shared" si="1"/>
        <v>Accountant</v>
      </c>
      <c r="N5" s="48" t="s">
        <v>108</v>
      </c>
      <c r="O5" s="48" t="s">
        <v>109</v>
      </c>
      <c r="P5" s="48" t="s">
        <v>104</v>
      </c>
      <c r="Q5" s="48" t="s">
        <v>110</v>
      </c>
      <c r="R5" s="48" t="s">
        <v>111</v>
      </c>
      <c r="S5" s="48" t="s">
        <v>112</v>
      </c>
      <c r="T5" s="48" t="s">
        <v>113</v>
      </c>
      <c r="U5" s="48" t="s">
        <v>114</v>
      </c>
      <c r="V5" s="48" t="s">
        <v>107</v>
      </c>
      <c r="W5" s="48" t="s">
        <v>115</v>
      </c>
      <c r="X5" s="48" t="s">
        <v>116</v>
      </c>
      <c r="Y5" s="48" t="s">
        <v>117</v>
      </c>
      <c r="Z5" s="48" t="s">
        <v>118</v>
      </c>
      <c r="AA5" s="48" t="s">
        <v>119</v>
      </c>
      <c r="AB5" s="48"/>
      <c r="AC5" s="48"/>
      <c r="AD5" s="48"/>
    </row>
    <row r="6">
      <c r="D6" s="48" t="s">
        <v>104</v>
      </c>
      <c r="F6" s="24" t="s">
        <v>122</v>
      </c>
      <c r="G6" s="24" t="s">
        <v>104</v>
      </c>
    </row>
    <row r="7">
      <c r="D7" s="48" t="s">
        <v>110</v>
      </c>
      <c r="G7" s="24" t="s">
        <v>110</v>
      </c>
    </row>
    <row r="8">
      <c r="D8" s="48" t="s">
        <v>111</v>
      </c>
      <c r="G8" s="24" t="s">
        <v>111</v>
      </c>
    </row>
    <row r="9">
      <c r="D9" s="48" t="s">
        <v>112</v>
      </c>
      <c r="G9" s="24" t="s">
        <v>112</v>
      </c>
      <c r="J9" s="53" t="s">
        <v>123</v>
      </c>
    </row>
    <row r="10">
      <c r="D10" s="48" t="s">
        <v>113</v>
      </c>
      <c r="G10" s="24" t="s">
        <v>113</v>
      </c>
    </row>
    <row r="11">
      <c r="D11" s="48" t="s">
        <v>114</v>
      </c>
      <c r="G11" s="24" t="s">
        <v>114</v>
      </c>
    </row>
    <row r="12">
      <c r="D12" s="48" t="s">
        <v>107</v>
      </c>
      <c r="G12" s="24" t="s">
        <v>107</v>
      </c>
    </row>
    <row r="13">
      <c r="D13" s="48" t="s">
        <v>115</v>
      </c>
      <c r="G13" s="24" t="s">
        <v>115</v>
      </c>
    </row>
    <row r="14">
      <c r="D14" s="48" t="s">
        <v>116</v>
      </c>
      <c r="G14" s="24" t="s">
        <v>116</v>
      </c>
    </row>
    <row r="15">
      <c r="D15" s="48" t="s">
        <v>117</v>
      </c>
      <c r="G15" s="24" t="s">
        <v>117</v>
      </c>
    </row>
    <row r="16">
      <c r="D16" s="48" t="s">
        <v>118</v>
      </c>
      <c r="G16" s="24" t="s">
        <v>118</v>
      </c>
    </row>
    <row r="17">
      <c r="D17" s="48" t="s">
        <v>119</v>
      </c>
      <c r="G17" s="24" t="s">
        <v>119</v>
      </c>
    </row>
    <row r="18">
      <c r="D18" s="48"/>
    </row>
    <row r="19">
      <c r="D19" s="48"/>
    </row>
    <row r="20">
      <c r="D20" s="48"/>
    </row>
  </sheetData>
  <mergeCells count="1">
    <mergeCell ref="J9:K14"/>
  </mergeCells>
  <dataValidations>
    <dataValidation type="list" allowBlank="1" showErrorMessage="1" sqref="B3">
      <formula1>'Dep. DropDown'!$D$3:$D$20</formula1>
    </dataValidation>
    <dataValidation type="list" allowBlank="1" showErrorMessage="1" sqref="K3:K5">
      <formula1>'Dep. DropDown'!$M3:$AG3</formula1>
    </dataValidation>
    <dataValidation type="list" allowBlank="1" showErrorMessage="1" sqref="A3 J3:J5">
      <formula1>'Dep. DropDown'!$F$2:$G$2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2.63"/>
    <col customWidth="1" min="5" max="5" width="9.0"/>
    <col customWidth="1" min="8" max="8" width="2.25"/>
    <col customWidth="1" min="9" max="9" width="1.38"/>
    <col customWidth="1" min="10" max="10" width="1.88"/>
    <col customWidth="1" min="11" max="11" width="11.88"/>
    <col customWidth="1" min="12" max="12" width="9.63"/>
    <col customWidth="1" min="13" max="13" width="6.0"/>
    <col customWidth="1" min="14" max="14" width="5.63"/>
  </cols>
  <sheetData>
    <row r="1">
      <c r="A1" s="17" t="s">
        <v>124</v>
      </c>
      <c r="B1" s="54"/>
      <c r="C1" s="54"/>
    </row>
    <row r="2">
      <c r="A2" s="24" t="s">
        <v>125</v>
      </c>
      <c r="E2" s="55"/>
      <c r="F2" s="55" t="s">
        <v>126</v>
      </c>
      <c r="K2" s="55" t="s">
        <v>127</v>
      </c>
    </row>
    <row r="3">
      <c r="E3" s="7" t="s">
        <v>101</v>
      </c>
      <c r="F3" s="39" t="s">
        <v>128</v>
      </c>
      <c r="G3" s="39" t="s">
        <v>129</v>
      </c>
      <c r="K3" s="39" t="s">
        <v>130</v>
      </c>
      <c r="L3" s="39" t="s">
        <v>129</v>
      </c>
      <c r="M3" s="39" t="s">
        <v>122</v>
      </c>
      <c r="N3" s="39" t="s">
        <v>131</v>
      </c>
    </row>
    <row r="4">
      <c r="A4" s="56" t="s">
        <v>132</v>
      </c>
      <c r="B4" s="45" t="s">
        <v>133</v>
      </c>
      <c r="E4" s="48" t="str">
        <f>IFERROR(__xludf.DUMMYFUNCTION("filter(G4:G25,F4:F25=B4)"),"Arcade")</f>
        <v>Arcade</v>
      </c>
      <c r="F4" s="24" t="s">
        <v>133</v>
      </c>
      <c r="G4" s="24" t="s">
        <v>92</v>
      </c>
      <c r="K4" s="24" t="s">
        <v>134</v>
      </c>
      <c r="L4" s="24" t="s">
        <v>82</v>
      </c>
      <c r="M4" s="57">
        <v>3416.0</v>
      </c>
      <c r="N4" s="24">
        <v>1270.0</v>
      </c>
    </row>
    <row r="5">
      <c r="A5" s="56" t="s">
        <v>135</v>
      </c>
      <c r="B5" s="45" t="s">
        <v>93</v>
      </c>
      <c r="E5" s="24" t="str">
        <f>IFERROR(__xludf.DUMMYFUNCTION("""COMPUTED_VALUE"""),"Aviatrr")</f>
        <v>Aviatrr</v>
      </c>
      <c r="F5" s="24" t="s">
        <v>133</v>
      </c>
      <c r="G5" s="24" t="s">
        <v>89</v>
      </c>
      <c r="K5" s="24" t="s">
        <v>136</v>
      </c>
      <c r="L5" s="24" t="s">
        <v>96</v>
      </c>
      <c r="M5" s="24">
        <v>0.0</v>
      </c>
      <c r="N5" s="24">
        <v>0.0</v>
      </c>
    </row>
    <row r="6">
      <c r="E6" s="24" t="str">
        <f>IFERROR(__xludf.DUMMYFUNCTION("""COMPUTED_VALUE"""),"Baden")</f>
        <v>Baden</v>
      </c>
      <c r="F6" s="24" t="s">
        <v>133</v>
      </c>
      <c r="G6" s="24" t="s">
        <v>83</v>
      </c>
      <c r="K6" s="24" t="s">
        <v>137</v>
      </c>
      <c r="L6" s="24" t="s">
        <v>89</v>
      </c>
      <c r="M6" s="24">
        <v>0.0</v>
      </c>
      <c r="N6" s="24">
        <v>0.0</v>
      </c>
    </row>
    <row r="7">
      <c r="A7" s="46" t="s">
        <v>138</v>
      </c>
      <c r="B7" s="58">
        <f>sumifs(M4:M100,L4:L100,B5)</f>
        <v>7337</v>
      </c>
      <c r="E7" s="24" t="str">
        <f>IFERROR(__xludf.DUMMYFUNCTION("""COMPUTED_VALUE"""),"deRamblr")</f>
        <v>deRamblr</v>
      </c>
      <c r="F7" s="24" t="s">
        <v>133</v>
      </c>
      <c r="G7" s="24" t="s">
        <v>81</v>
      </c>
      <c r="K7" s="24" t="s">
        <v>139</v>
      </c>
      <c r="L7" s="24" t="s">
        <v>90</v>
      </c>
      <c r="M7" s="57">
        <v>5465.0</v>
      </c>
      <c r="N7" s="24">
        <v>650.0</v>
      </c>
    </row>
    <row r="8">
      <c r="A8" s="46" t="s">
        <v>140</v>
      </c>
      <c r="B8" s="58">
        <f>sumifs(N4:N100,L4:L100,B5)</f>
        <v>3180</v>
      </c>
      <c r="E8" s="24" t="str">
        <f>IFERROR(__xludf.DUMMYFUNCTION("""COMPUTED_VALUE"""),"Fightrr")</f>
        <v>Fightrr</v>
      </c>
      <c r="F8" s="24" t="s">
        <v>133</v>
      </c>
      <c r="G8" s="24" t="s">
        <v>91</v>
      </c>
      <c r="K8" s="24" t="s">
        <v>134</v>
      </c>
      <c r="L8" s="24" t="s">
        <v>81</v>
      </c>
      <c r="M8" s="57">
        <v>7148.0</v>
      </c>
      <c r="N8" s="24">
        <v>4140.0</v>
      </c>
    </row>
    <row r="9">
      <c r="E9" s="24" t="str">
        <f>IFERROR(__xludf.DUMMYFUNCTION("""COMPUTED_VALUE"""),"Five Labs")</f>
        <v>Five Labs</v>
      </c>
      <c r="F9" s="24" t="s">
        <v>133</v>
      </c>
      <c r="G9" s="24" t="s">
        <v>93</v>
      </c>
      <c r="K9" s="24" t="s">
        <v>136</v>
      </c>
      <c r="L9" s="24" t="s">
        <v>98</v>
      </c>
      <c r="M9" s="57">
        <v>4469.0</v>
      </c>
      <c r="N9" s="24">
        <v>2400.0</v>
      </c>
    </row>
    <row r="10">
      <c r="E10" s="24" t="str">
        <f>IFERROR(__xludf.DUMMYFUNCTION("""COMPUTED_VALUE"""),"Hackrr")</f>
        <v>Hackrr</v>
      </c>
      <c r="F10" s="24" t="s">
        <v>133</v>
      </c>
      <c r="G10" s="24" t="s">
        <v>84</v>
      </c>
      <c r="K10" s="24" t="s">
        <v>139</v>
      </c>
      <c r="L10" s="24" t="s">
        <v>88</v>
      </c>
      <c r="M10" s="24">
        <v>463.0</v>
      </c>
      <c r="N10" s="24">
        <v>70.0</v>
      </c>
    </row>
    <row r="11">
      <c r="E11" s="24" t="str">
        <f>IFERROR(__xludf.DUMMYFUNCTION("""COMPUTED_VALUE"""),"Jellyfish")</f>
        <v>Jellyfish</v>
      </c>
      <c r="F11" s="24" t="s">
        <v>133</v>
      </c>
      <c r="G11" s="24" t="s">
        <v>85</v>
      </c>
      <c r="K11" s="24" t="s">
        <v>137</v>
      </c>
      <c r="L11" s="24" t="s">
        <v>93</v>
      </c>
      <c r="M11" s="57">
        <v>2554.0</v>
      </c>
      <c r="N11" s="24">
        <v>730.0</v>
      </c>
    </row>
    <row r="12">
      <c r="E12" s="24" t="str">
        <f>IFERROR(__xludf.DUMMYFUNCTION("""COMPUTED_VALUE"""),"Kryptis")</f>
        <v>Kryptis</v>
      </c>
      <c r="F12" s="24" t="s">
        <v>133</v>
      </c>
      <c r="G12" s="24" t="s">
        <v>98</v>
      </c>
      <c r="K12" s="24" t="s">
        <v>136</v>
      </c>
      <c r="L12" s="24" t="s">
        <v>90</v>
      </c>
      <c r="M12" s="57">
        <v>1171.0</v>
      </c>
      <c r="N12" s="24">
        <v>1080.0</v>
      </c>
    </row>
    <row r="13">
      <c r="E13" s="24" t="str">
        <f>IFERROR(__xludf.DUMMYFUNCTION("""COMPUTED_VALUE"""),"Perino")</f>
        <v>Perino</v>
      </c>
      <c r="F13" s="24" t="s">
        <v>133</v>
      </c>
      <c r="G13" s="24" t="s">
        <v>88</v>
      </c>
      <c r="K13" s="24" t="s">
        <v>134</v>
      </c>
      <c r="L13" s="24" t="s">
        <v>88</v>
      </c>
      <c r="M13" s="57">
        <v>1340.0</v>
      </c>
      <c r="N13" s="24">
        <v>60.0</v>
      </c>
    </row>
    <row r="14">
      <c r="E14" s="24" t="str">
        <f>IFERROR(__xludf.DUMMYFUNCTION("""COMPUTED_VALUE"""),"Pes")</f>
        <v>Pes</v>
      </c>
      <c r="F14" s="24" t="s">
        <v>133</v>
      </c>
      <c r="G14" s="24" t="s">
        <v>97</v>
      </c>
      <c r="K14" s="24" t="s">
        <v>137</v>
      </c>
      <c r="L14" s="24" t="s">
        <v>82</v>
      </c>
      <c r="M14" s="57">
        <v>12979.0</v>
      </c>
      <c r="N14" s="24">
        <v>6820.0</v>
      </c>
    </row>
    <row r="15">
      <c r="E15" s="24" t="str">
        <f>IFERROR(__xludf.DUMMYFUNCTION("""COMPUTED_VALUE"""),"Twistrr")</f>
        <v>Twistrr</v>
      </c>
      <c r="F15" s="24" t="s">
        <v>133</v>
      </c>
      <c r="G15" s="24" t="s">
        <v>94</v>
      </c>
      <c r="K15" s="24" t="s">
        <v>139</v>
      </c>
      <c r="L15" s="24" t="s">
        <v>82</v>
      </c>
      <c r="M15" s="24">
        <v>911.0</v>
      </c>
      <c r="N15" s="24">
        <v>880.0</v>
      </c>
    </row>
    <row r="16">
      <c r="E16" s="24"/>
      <c r="F16" s="24" t="s">
        <v>141</v>
      </c>
      <c r="G16" s="24" t="s">
        <v>86</v>
      </c>
      <c r="K16" s="24" t="s">
        <v>134</v>
      </c>
      <c r="L16" s="24" t="s">
        <v>90</v>
      </c>
      <c r="M16" s="57">
        <v>7514.0</v>
      </c>
      <c r="N16" s="24">
        <v>430.0</v>
      </c>
    </row>
    <row r="17">
      <c r="E17" s="24"/>
      <c r="F17" s="24" t="s">
        <v>141</v>
      </c>
      <c r="G17" s="24" t="s">
        <v>79</v>
      </c>
      <c r="K17" s="24" t="s">
        <v>139</v>
      </c>
      <c r="L17" s="24" t="s">
        <v>79</v>
      </c>
      <c r="M17" s="57">
        <v>2732.0</v>
      </c>
      <c r="N17" s="24">
        <v>750.0</v>
      </c>
    </row>
    <row r="18">
      <c r="E18" s="24"/>
      <c r="F18" s="24" t="s">
        <v>141</v>
      </c>
      <c r="G18" s="24" t="s">
        <v>90</v>
      </c>
      <c r="K18" s="24" t="s">
        <v>142</v>
      </c>
      <c r="L18" s="24" t="s">
        <v>89</v>
      </c>
      <c r="M18" s="57">
        <v>5254.0</v>
      </c>
      <c r="N18" s="24">
        <v>2390.0</v>
      </c>
    </row>
    <row r="19">
      <c r="E19" s="24"/>
      <c r="F19" s="24" t="s">
        <v>141</v>
      </c>
      <c r="G19" s="24" t="s">
        <v>82</v>
      </c>
      <c r="K19" s="24" t="s">
        <v>137</v>
      </c>
      <c r="L19" s="24" t="s">
        <v>96</v>
      </c>
      <c r="M19" s="24">
        <v>0.0</v>
      </c>
      <c r="N19" s="24">
        <v>0.0</v>
      </c>
    </row>
    <row r="20">
      <c r="E20" s="24"/>
      <c r="F20" s="24" t="s">
        <v>143</v>
      </c>
      <c r="G20" s="24" t="s">
        <v>87</v>
      </c>
      <c r="K20" s="24" t="s">
        <v>134</v>
      </c>
      <c r="L20" s="24" t="s">
        <v>83</v>
      </c>
      <c r="M20" s="57">
        <v>6701.0</v>
      </c>
      <c r="N20" s="24">
        <v>6470.0</v>
      </c>
    </row>
    <row r="21">
      <c r="E21" s="24"/>
      <c r="F21" s="24" t="s">
        <v>143</v>
      </c>
      <c r="G21" s="24" t="s">
        <v>96</v>
      </c>
      <c r="K21" s="24" t="s">
        <v>139</v>
      </c>
      <c r="L21" s="24" t="s">
        <v>86</v>
      </c>
      <c r="M21" s="24">
        <v>911.0</v>
      </c>
      <c r="N21" s="24">
        <v>500.0</v>
      </c>
    </row>
    <row r="22">
      <c r="E22" s="24"/>
      <c r="F22" s="24" t="s">
        <v>143</v>
      </c>
      <c r="G22" s="24" t="s">
        <v>95</v>
      </c>
      <c r="K22" s="24" t="s">
        <v>137</v>
      </c>
      <c r="L22" s="24" t="s">
        <v>86</v>
      </c>
      <c r="M22" s="57">
        <v>1220.0</v>
      </c>
      <c r="N22" s="24">
        <v>910.0</v>
      </c>
    </row>
    <row r="23">
      <c r="K23" s="24" t="s">
        <v>137</v>
      </c>
      <c r="L23" s="24" t="s">
        <v>84</v>
      </c>
      <c r="M23" s="57">
        <v>8514.0</v>
      </c>
      <c r="N23" s="24">
        <v>7560.0</v>
      </c>
    </row>
    <row r="24">
      <c r="K24" s="24" t="s">
        <v>142</v>
      </c>
      <c r="L24" s="24" t="s">
        <v>94</v>
      </c>
      <c r="M24" s="57">
        <v>7443.0</v>
      </c>
      <c r="N24" s="24">
        <v>3200.0</v>
      </c>
    </row>
    <row r="25">
      <c r="K25" s="24" t="s">
        <v>136</v>
      </c>
      <c r="L25" s="24" t="s">
        <v>93</v>
      </c>
      <c r="M25" s="57">
        <v>2483.0</v>
      </c>
      <c r="N25" s="24">
        <v>1190.0</v>
      </c>
    </row>
    <row r="26">
      <c r="K26" s="24" t="s">
        <v>139</v>
      </c>
      <c r="L26" s="24" t="s">
        <v>83</v>
      </c>
      <c r="M26" s="57">
        <v>15754.0</v>
      </c>
      <c r="N26" s="24">
        <v>5220.0</v>
      </c>
    </row>
    <row r="27">
      <c r="K27" s="24" t="s">
        <v>136</v>
      </c>
      <c r="L27" s="24" t="s">
        <v>89</v>
      </c>
      <c r="M27" s="57">
        <v>11917.0</v>
      </c>
      <c r="N27" s="24">
        <v>11610.0</v>
      </c>
    </row>
    <row r="28">
      <c r="K28" s="24" t="s">
        <v>137</v>
      </c>
      <c r="L28" s="24" t="s">
        <v>92</v>
      </c>
      <c r="M28" s="57">
        <v>5108.0</v>
      </c>
      <c r="N28" s="24">
        <v>5010.0</v>
      </c>
    </row>
    <row r="29">
      <c r="K29" s="24" t="s">
        <v>134</v>
      </c>
      <c r="L29" s="24" t="s">
        <v>98</v>
      </c>
      <c r="M29" s="57">
        <v>1787.0</v>
      </c>
      <c r="N29" s="24">
        <v>960.0</v>
      </c>
    </row>
    <row r="30">
      <c r="K30" s="24" t="s">
        <v>136</v>
      </c>
      <c r="L30" s="24" t="s">
        <v>79</v>
      </c>
      <c r="M30" s="57">
        <v>7612.0</v>
      </c>
      <c r="N30" s="24">
        <v>1630.0</v>
      </c>
    </row>
    <row r="31">
      <c r="K31" s="24" t="s">
        <v>142</v>
      </c>
      <c r="L31" s="24" t="s">
        <v>83</v>
      </c>
      <c r="M31" s="57">
        <v>6130.0</v>
      </c>
      <c r="N31" s="24">
        <v>1200.0</v>
      </c>
    </row>
    <row r="32">
      <c r="K32" s="24" t="s">
        <v>142</v>
      </c>
      <c r="L32" s="24" t="s">
        <v>86</v>
      </c>
      <c r="M32" s="24">
        <v>0.0</v>
      </c>
      <c r="N32" s="24">
        <v>0.0</v>
      </c>
    </row>
    <row r="33">
      <c r="K33" s="24" t="s">
        <v>136</v>
      </c>
      <c r="L33" s="24" t="s">
        <v>87</v>
      </c>
      <c r="M33" s="24">
        <v>684.0</v>
      </c>
      <c r="N33" s="24">
        <v>660.0</v>
      </c>
    </row>
    <row r="34">
      <c r="K34" s="24" t="s">
        <v>136</v>
      </c>
      <c r="L34" s="24" t="s">
        <v>82</v>
      </c>
      <c r="M34" s="24">
        <v>0.0</v>
      </c>
      <c r="N34" s="24">
        <v>0.0</v>
      </c>
    </row>
    <row r="35">
      <c r="K35" s="24" t="s">
        <v>139</v>
      </c>
      <c r="L35" s="24" t="s">
        <v>95</v>
      </c>
      <c r="M35" s="57">
        <v>12235.0</v>
      </c>
      <c r="N35" s="24">
        <v>5130.0</v>
      </c>
    </row>
    <row r="36">
      <c r="K36" s="24" t="s">
        <v>139</v>
      </c>
      <c r="L36" s="24" t="s">
        <v>84</v>
      </c>
      <c r="M36" s="57">
        <v>2317.0</v>
      </c>
      <c r="N36" s="24">
        <v>2000.0</v>
      </c>
    </row>
    <row r="37">
      <c r="K37" s="24" t="s">
        <v>142</v>
      </c>
      <c r="L37" s="24" t="s">
        <v>79</v>
      </c>
      <c r="M37" s="24">
        <v>0.0</v>
      </c>
      <c r="N37" s="24">
        <v>0.0</v>
      </c>
    </row>
    <row r="38">
      <c r="K38" s="24" t="s">
        <v>139</v>
      </c>
      <c r="L38" s="24" t="s">
        <v>89</v>
      </c>
      <c r="M38" s="57">
        <v>9731.0</v>
      </c>
      <c r="N38" s="24">
        <v>6530.0</v>
      </c>
    </row>
    <row r="39">
      <c r="K39" s="24" t="s">
        <v>134</v>
      </c>
      <c r="L39" s="24" t="s">
        <v>95</v>
      </c>
      <c r="M39" s="24">
        <v>0.0</v>
      </c>
      <c r="N39" s="24">
        <v>0.0</v>
      </c>
    </row>
    <row r="40">
      <c r="K40" s="24" t="s">
        <v>136</v>
      </c>
      <c r="L40" s="24" t="s">
        <v>97</v>
      </c>
      <c r="M40" s="24">
        <v>497.0</v>
      </c>
      <c r="N40" s="24">
        <v>430.0</v>
      </c>
    </row>
    <row r="41">
      <c r="K41" s="24" t="s">
        <v>134</v>
      </c>
      <c r="L41" s="24" t="s">
        <v>97</v>
      </c>
      <c r="M41" s="57">
        <v>4468.0</v>
      </c>
      <c r="N41" s="24">
        <v>2520.0</v>
      </c>
    </row>
    <row r="42">
      <c r="K42" s="24" t="s">
        <v>136</v>
      </c>
      <c r="L42" s="24" t="s">
        <v>84</v>
      </c>
      <c r="M42" s="57">
        <v>2979.0</v>
      </c>
      <c r="N42" s="24">
        <v>480.0</v>
      </c>
    </row>
    <row r="43">
      <c r="K43" s="24" t="s">
        <v>136</v>
      </c>
      <c r="L43" s="24" t="s">
        <v>88</v>
      </c>
      <c r="M43" s="24">
        <v>993.0</v>
      </c>
      <c r="N43" s="24">
        <v>240.0</v>
      </c>
    </row>
    <row r="44">
      <c r="K44" s="24" t="s">
        <v>134</v>
      </c>
      <c r="L44" s="24" t="s">
        <v>89</v>
      </c>
      <c r="M44" s="57">
        <v>5808.0</v>
      </c>
      <c r="N44" s="24">
        <v>140.0</v>
      </c>
    </row>
    <row r="45">
      <c r="K45" s="24" t="s">
        <v>142</v>
      </c>
      <c r="L45" s="24" t="s">
        <v>92</v>
      </c>
      <c r="M45" s="57">
        <v>4378.0</v>
      </c>
      <c r="N45" s="24">
        <v>3940.0</v>
      </c>
    </row>
    <row r="46">
      <c r="K46" s="24" t="s">
        <v>139</v>
      </c>
      <c r="L46" s="24" t="s">
        <v>87</v>
      </c>
      <c r="M46" s="57">
        <v>2622.0</v>
      </c>
      <c r="N46" s="24">
        <v>2090.0</v>
      </c>
    </row>
    <row r="47">
      <c r="K47" s="24" t="s">
        <v>137</v>
      </c>
      <c r="L47" s="24" t="s">
        <v>88</v>
      </c>
      <c r="M47" s="24">
        <v>0.0</v>
      </c>
      <c r="N47" s="24">
        <v>0.0</v>
      </c>
    </row>
    <row r="48">
      <c r="K48" s="24" t="s">
        <v>137</v>
      </c>
      <c r="L48" s="24" t="s">
        <v>97</v>
      </c>
      <c r="M48" s="57">
        <v>12771.0</v>
      </c>
      <c r="N48" s="24">
        <v>10960.0</v>
      </c>
    </row>
    <row r="49">
      <c r="K49" s="24" t="s">
        <v>136</v>
      </c>
      <c r="L49" s="24" t="s">
        <v>85</v>
      </c>
      <c r="M49" s="57">
        <v>3972.0</v>
      </c>
      <c r="N49" s="24">
        <v>920.0</v>
      </c>
    </row>
    <row r="50">
      <c r="K50" s="24" t="s">
        <v>137</v>
      </c>
      <c r="L50" s="24" t="s">
        <v>87</v>
      </c>
      <c r="M50" s="24">
        <v>0.0</v>
      </c>
      <c r="N50" s="24">
        <v>0.0</v>
      </c>
    </row>
    <row r="51">
      <c r="K51" s="24" t="s">
        <v>142</v>
      </c>
      <c r="L51" s="24" t="s">
        <v>91</v>
      </c>
      <c r="M51" s="57">
        <v>13135.0</v>
      </c>
      <c r="N51" s="24">
        <v>10420.0</v>
      </c>
    </row>
    <row r="52">
      <c r="K52" s="24" t="s">
        <v>137</v>
      </c>
      <c r="L52" s="24" t="s">
        <v>95</v>
      </c>
      <c r="M52" s="57">
        <v>2508.0</v>
      </c>
      <c r="N52" s="24">
        <v>1750.0</v>
      </c>
    </row>
    <row r="53">
      <c r="K53" s="24" t="s">
        <v>139</v>
      </c>
      <c r="L53" s="24" t="s">
        <v>98</v>
      </c>
      <c r="M53" s="24">
        <v>927.0</v>
      </c>
      <c r="N53" s="24">
        <v>890.0</v>
      </c>
    </row>
    <row r="54">
      <c r="K54" s="24" t="s">
        <v>137</v>
      </c>
      <c r="L54" s="24" t="s">
        <v>81</v>
      </c>
      <c r="M54" s="24">
        <v>0.0</v>
      </c>
      <c r="N54" s="24">
        <v>0.0</v>
      </c>
    </row>
    <row r="55">
      <c r="K55" s="24" t="s">
        <v>136</v>
      </c>
      <c r="L55" s="24" t="s">
        <v>94</v>
      </c>
      <c r="M55" s="57">
        <v>3476.0</v>
      </c>
      <c r="N55" s="24">
        <v>3420.0</v>
      </c>
    </row>
    <row r="56">
      <c r="K56" s="24" t="s">
        <v>136</v>
      </c>
      <c r="L56" s="24" t="s">
        <v>91</v>
      </c>
      <c r="M56" s="24">
        <v>993.0</v>
      </c>
      <c r="N56" s="24">
        <v>310.0</v>
      </c>
    </row>
    <row r="57">
      <c r="K57" s="24" t="s">
        <v>139</v>
      </c>
      <c r="L57" s="24" t="s">
        <v>94</v>
      </c>
      <c r="M57" s="57">
        <v>2317.0</v>
      </c>
      <c r="N57" s="24">
        <v>550.0</v>
      </c>
    </row>
    <row r="58">
      <c r="K58" s="24" t="s">
        <v>139</v>
      </c>
      <c r="L58" s="24" t="s">
        <v>93</v>
      </c>
      <c r="M58" s="57">
        <v>1853.0</v>
      </c>
      <c r="N58" s="24">
        <v>880.0</v>
      </c>
    </row>
    <row r="59">
      <c r="K59" s="24" t="s">
        <v>139</v>
      </c>
      <c r="L59" s="24" t="s">
        <v>92</v>
      </c>
      <c r="M59" s="57">
        <v>9267.0</v>
      </c>
      <c r="N59" s="24">
        <v>6790.0</v>
      </c>
    </row>
    <row r="60">
      <c r="K60" s="24" t="s">
        <v>134</v>
      </c>
      <c r="L60" s="24" t="s">
        <v>86</v>
      </c>
      <c r="M60" s="57">
        <v>1708.0</v>
      </c>
      <c r="N60" s="24">
        <v>150.0</v>
      </c>
    </row>
    <row r="61">
      <c r="K61" s="24" t="s">
        <v>142</v>
      </c>
      <c r="L61" s="24" t="s">
        <v>90</v>
      </c>
      <c r="M61" s="24">
        <v>0.0</v>
      </c>
      <c r="N61" s="24">
        <v>0.0</v>
      </c>
    </row>
    <row r="62">
      <c r="K62" s="24" t="s">
        <v>137</v>
      </c>
      <c r="L62" s="24" t="s">
        <v>85</v>
      </c>
      <c r="M62" s="24">
        <v>0.0</v>
      </c>
      <c r="N62" s="24">
        <v>0.0</v>
      </c>
    </row>
    <row r="63">
      <c r="K63" s="24" t="s">
        <v>134</v>
      </c>
      <c r="L63" s="24" t="s">
        <v>85</v>
      </c>
      <c r="M63" s="57">
        <v>1340.0</v>
      </c>
      <c r="N63" s="24">
        <v>740.0</v>
      </c>
    </row>
    <row r="64">
      <c r="K64" s="24" t="s">
        <v>136</v>
      </c>
      <c r="L64" s="24" t="s">
        <v>81</v>
      </c>
      <c r="M64" s="24">
        <v>497.0</v>
      </c>
      <c r="N64" s="24">
        <v>100.0</v>
      </c>
    </row>
    <row r="65">
      <c r="K65" s="24" t="s">
        <v>134</v>
      </c>
      <c r="L65" s="24" t="s">
        <v>91</v>
      </c>
      <c r="M65" s="57">
        <v>8042.0</v>
      </c>
      <c r="N65" s="24">
        <v>1430.0</v>
      </c>
    </row>
    <row r="66">
      <c r="K66" s="24" t="s">
        <v>142</v>
      </c>
      <c r="L66" s="24" t="s">
        <v>81</v>
      </c>
      <c r="M66" s="57">
        <v>7443.0</v>
      </c>
      <c r="N66" s="24">
        <v>6240.0</v>
      </c>
    </row>
    <row r="67">
      <c r="K67" s="24" t="s">
        <v>137</v>
      </c>
      <c r="L67" s="24" t="s">
        <v>83</v>
      </c>
      <c r="M67" s="24">
        <v>0.0</v>
      </c>
      <c r="N67" s="24">
        <v>0.0</v>
      </c>
    </row>
    <row r="68">
      <c r="K68" s="24" t="s">
        <v>139</v>
      </c>
      <c r="L68" s="24" t="s">
        <v>91</v>
      </c>
      <c r="M68" s="57">
        <v>1390.0</v>
      </c>
      <c r="N68" s="24">
        <v>380.0</v>
      </c>
    </row>
    <row r="69">
      <c r="K69" s="24" t="s">
        <v>142</v>
      </c>
      <c r="L69" s="24" t="s">
        <v>82</v>
      </c>
      <c r="M69" s="57">
        <v>3513.0</v>
      </c>
      <c r="N69" s="24">
        <v>3080.0</v>
      </c>
    </row>
    <row r="70">
      <c r="K70" s="24" t="s">
        <v>139</v>
      </c>
      <c r="L70" s="24" t="s">
        <v>81</v>
      </c>
      <c r="M70" s="24">
        <v>927.0</v>
      </c>
      <c r="N70" s="24">
        <v>840.0</v>
      </c>
    </row>
    <row r="71">
      <c r="K71" s="24" t="s">
        <v>136</v>
      </c>
      <c r="L71" s="24" t="s">
        <v>92</v>
      </c>
      <c r="M71" s="57">
        <v>15890.0</v>
      </c>
      <c r="N71" s="24">
        <v>6900.0</v>
      </c>
    </row>
    <row r="72">
      <c r="K72" s="24" t="s">
        <v>137</v>
      </c>
      <c r="L72" s="24" t="s">
        <v>98</v>
      </c>
      <c r="M72" s="24">
        <v>0.0</v>
      </c>
      <c r="N72" s="24">
        <v>0.0</v>
      </c>
    </row>
    <row r="73">
      <c r="K73" s="24" t="s">
        <v>134</v>
      </c>
      <c r="L73" s="24" t="s">
        <v>84</v>
      </c>
      <c r="M73" s="24">
        <v>894.0</v>
      </c>
      <c r="N73" s="24">
        <v>260.0</v>
      </c>
    </row>
    <row r="74">
      <c r="K74" s="24" t="s">
        <v>137</v>
      </c>
      <c r="L74" s="24" t="s">
        <v>91</v>
      </c>
      <c r="M74" s="24">
        <v>851.0</v>
      </c>
      <c r="N74" s="24">
        <v>660.0</v>
      </c>
    </row>
    <row r="75">
      <c r="K75" s="24" t="s">
        <v>139</v>
      </c>
      <c r="L75" s="24" t="s">
        <v>97</v>
      </c>
      <c r="M75" s="24">
        <v>463.0</v>
      </c>
      <c r="N75" s="24">
        <v>180.0</v>
      </c>
    </row>
    <row r="76">
      <c r="K76" s="24" t="s">
        <v>139</v>
      </c>
      <c r="L76" s="24" t="s">
        <v>96</v>
      </c>
      <c r="M76" s="57">
        <v>1748.0</v>
      </c>
      <c r="N76" s="24">
        <v>140.0</v>
      </c>
    </row>
    <row r="77">
      <c r="K77" s="24" t="s">
        <v>137</v>
      </c>
      <c r="L77" s="24" t="s">
        <v>90</v>
      </c>
      <c r="M77" s="57">
        <v>1025.0</v>
      </c>
      <c r="N77" s="24">
        <v>760.0</v>
      </c>
    </row>
    <row r="78">
      <c r="K78" s="24" t="s">
        <v>137</v>
      </c>
      <c r="L78" s="24" t="s">
        <v>94</v>
      </c>
      <c r="M78" s="57">
        <v>12771.0</v>
      </c>
      <c r="N78" s="24">
        <v>7450.0</v>
      </c>
    </row>
    <row r="79">
      <c r="K79" s="24" t="s">
        <v>136</v>
      </c>
      <c r="L79" s="24" t="s">
        <v>95</v>
      </c>
      <c r="M79" s="24">
        <v>0.0</v>
      </c>
      <c r="N79" s="24">
        <v>0.0</v>
      </c>
    </row>
    <row r="80">
      <c r="K80" s="24" t="s">
        <v>134</v>
      </c>
      <c r="L80" s="24" t="s">
        <v>92</v>
      </c>
      <c r="M80" s="57">
        <v>5361.0</v>
      </c>
      <c r="N80" s="24">
        <v>2260.0</v>
      </c>
    </row>
    <row r="81">
      <c r="K81" s="24" t="s">
        <v>139</v>
      </c>
      <c r="L81" s="24" t="s">
        <v>85</v>
      </c>
      <c r="M81" s="24">
        <v>927.0</v>
      </c>
      <c r="N81" s="24">
        <v>160.0</v>
      </c>
    </row>
    <row r="82">
      <c r="K82" s="24" t="s">
        <v>134</v>
      </c>
      <c r="L82" s="24" t="s">
        <v>94</v>
      </c>
      <c r="M82" s="57">
        <v>1340.0</v>
      </c>
      <c r="N82" s="24">
        <v>270.0</v>
      </c>
    </row>
    <row r="83">
      <c r="K83" s="24" t="s">
        <v>134</v>
      </c>
      <c r="L83" s="24" t="s">
        <v>87</v>
      </c>
      <c r="M83" s="24">
        <v>0.0</v>
      </c>
      <c r="N83" s="24">
        <v>0.0</v>
      </c>
    </row>
    <row r="84">
      <c r="K84" s="24" t="s">
        <v>134</v>
      </c>
      <c r="L84" s="24" t="s">
        <v>96</v>
      </c>
      <c r="M84" s="57">
        <v>2210.0</v>
      </c>
      <c r="N84" s="24">
        <v>540.0</v>
      </c>
    </row>
    <row r="85">
      <c r="K85" s="24" t="s">
        <v>134</v>
      </c>
      <c r="L85" s="24" t="s">
        <v>79</v>
      </c>
      <c r="M85" s="57">
        <v>1708.0</v>
      </c>
      <c r="N85" s="24">
        <v>720.0</v>
      </c>
    </row>
    <row r="86">
      <c r="K86" s="24" t="s">
        <v>136</v>
      </c>
      <c r="L86" s="24" t="s">
        <v>83</v>
      </c>
      <c r="M86" s="57">
        <v>1490.0</v>
      </c>
      <c r="N86" s="24">
        <v>880.0</v>
      </c>
    </row>
    <row r="87">
      <c r="K87" s="24" t="s">
        <v>134</v>
      </c>
      <c r="L87" s="24" t="s">
        <v>93</v>
      </c>
      <c r="M87" s="24">
        <v>447.0</v>
      </c>
      <c r="N87" s="24">
        <v>380.0</v>
      </c>
    </row>
  </sheetData>
  <dataValidations>
    <dataValidation type="list" allowBlank="1" showErrorMessage="1" sqref="B5">
      <formula1>'Challenge #2'!$E$4:$E$25</formula1>
    </dataValidation>
    <dataValidation type="list" allowBlank="1" showErrorMessage="1" sqref="B4">
      <formula1>'Challenge #2'!$F$4:$F$25</formula1>
    </dataValidation>
  </dataValidations>
  <drawing r:id="rId1"/>
</worksheet>
</file>