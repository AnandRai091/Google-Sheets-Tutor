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ext" sheetId="2" r:id="rId6"/>
    <sheet state="visible" name="Search" sheetId="3" r:id="rId7"/>
    <sheet state="visible" name="Split Join" sheetId="4" r:id="rId8"/>
    <sheet state="visible" name="Date" sheetId="5" r:id="rId9"/>
    <sheet state="visible" name="Time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Use  custom formatting dddd to see the name of the week day.</t>
      </text>
    </comment>
  </commentList>
</comments>
</file>

<file path=xl/sharedStrings.xml><?xml version="1.0" encoding="utf-8"?>
<sst xmlns="http://schemas.openxmlformats.org/spreadsheetml/2006/main" count="213" uniqueCount="146">
  <si>
    <t>Google Sheets Essentials</t>
  </si>
  <si>
    <t>Text, Date &amp; Time Functions</t>
  </si>
  <si>
    <t>LINK</t>
  </si>
  <si>
    <t>TOPIC</t>
  </si>
  <si>
    <t>COMPREHENSION</t>
  </si>
  <si>
    <t>YOUR NOTES</t>
  </si>
  <si>
    <t>Useful &amp; Easy Text Functions</t>
  </si>
  <si>
    <t>Select One…</t>
  </si>
  <si>
    <t>Search &amp; Substitute Text</t>
  </si>
  <si>
    <t>Split &amp; Join Values to / from Columns</t>
  </si>
  <si>
    <t>Essential Date Functions</t>
  </si>
  <si>
    <t>Time Calculations (Calculating Hours worked)</t>
  </si>
  <si>
    <t>Useful Text Functions</t>
  </si>
  <si>
    <t>Try this:</t>
  </si>
  <si>
    <t>Allocate the department to each person from the lookup table</t>
  </si>
  <si>
    <t>Lookup Table</t>
  </si>
  <si>
    <t>Name</t>
  </si>
  <si>
    <t>Upper Case</t>
  </si>
  <si>
    <t>Lower Case</t>
  </si>
  <si>
    <t>Proper Case</t>
  </si>
  <si>
    <t>Find Department</t>
  </si>
  <si>
    <t>Department</t>
  </si>
  <si>
    <t>matilda parry</t>
  </si>
  <si>
    <t>Tommy Dixon</t>
  </si>
  <si>
    <t>Sales</t>
  </si>
  <si>
    <t>Charlie chamBers</t>
  </si>
  <si>
    <t xml:space="preserve">Charlie Chambers </t>
  </si>
  <si>
    <t>Heidi Medina</t>
  </si>
  <si>
    <t>Marketing</t>
  </si>
  <si>
    <t>Tommy dixon</t>
  </si>
  <si>
    <t>Charlie Chambers</t>
  </si>
  <si>
    <t>harry BURKE</t>
  </si>
  <si>
    <t>Betina Bauer</t>
  </si>
  <si>
    <t>Procurement</t>
  </si>
  <si>
    <t>Judy Bell</t>
  </si>
  <si>
    <t>Judy  Bell</t>
  </si>
  <si>
    <t>Harry Burke</t>
  </si>
  <si>
    <t>BETINA BAUER</t>
  </si>
  <si>
    <t>Matilda Parry</t>
  </si>
  <si>
    <t>Company Code</t>
  </si>
  <si>
    <t>Division Code (first 2 digits)</t>
  </si>
  <si>
    <t>System Code (middle 3 digits)</t>
  </si>
  <si>
    <t>Country Code (last 2 digits)</t>
  </si>
  <si>
    <t>GA150AT</t>
  </si>
  <si>
    <t>PR120DE</t>
  </si>
  <si>
    <t>UT130US</t>
  </si>
  <si>
    <t>GA160DE</t>
  </si>
  <si>
    <t>Transpose your data with a single formula:</t>
  </si>
  <si>
    <t>GA</t>
  </si>
  <si>
    <t>PR</t>
  </si>
  <si>
    <t>UT</t>
  </si>
  <si>
    <t>Strengths</t>
  </si>
  <si>
    <t>Update "creativity" to "creative"</t>
  </si>
  <si>
    <t>change "," to "|"</t>
  </si>
  <si>
    <t>Two substitutes in one</t>
  </si>
  <si>
    <t>creativity, writing, tech</t>
  </si>
  <si>
    <t>negotiation, creativity</t>
  </si>
  <si>
    <t>Tech</t>
  </si>
  <si>
    <t>Writing, tech</t>
  </si>
  <si>
    <t>tech, writing</t>
  </si>
  <si>
    <t>Creativity, negotiation</t>
  </si>
  <si>
    <t>Communication</t>
  </si>
  <si>
    <t>Creativity</t>
  </si>
  <si>
    <t>TRY THIS:</t>
  </si>
  <si>
    <t>Strength? (Y/N)</t>
  </si>
  <si>
    <t>Get the list of Names with this strength</t>
  </si>
  <si>
    <t>Split Values to Multiple Columns</t>
  </si>
  <si>
    <t>--&gt;</t>
  </si>
  <si>
    <t>TRY THIS</t>
  </si>
  <si>
    <t>Sort the names for each team in ascending order</t>
  </si>
  <si>
    <t>Split Names</t>
  </si>
  <si>
    <t>Combine Names</t>
  </si>
  <si>
    <t>First Name</t>
  </si>
  <si>
    <t>Last Name</t>
  </si>
  <si>
    <t>With &amp;</t>
  </si>
  <si>
    <t>Concatenate</t>
  </si>
  <si>
    <t>Join</t>
  </si>
  <si>
    <t>Groups</t>
  </si>
  <si>
    <t>Teams</t>
  </si>
  <si>
    <t>Sort by Name</t>
  </si>
  <si>
    <t>Walter Miller</t>
  </si>
  <si>
    <t>Ramjac/Bond,Lowe</t>
  </si>
  <si>
    <t>Ramjac, Bond B, Lowe, Blume, Dixon</t>
  </si>
  <si>
    <t>Kim West</t>
  </si>
  <si>
    <t>Porter,Williamson-Fletcher</t>
  </si>
  <si>
    <t>Porter, Williamson, Fletcher</t>
  </si>
  <si>
    <t>Lyric Wise</t>
  </si>
  <si>
    <t>Good-Wise-Mcguire</t>
  </si>
  <si>
    <t>Good, Wise, Mcguire, Willard, Burke</t>
  </si>
  <si>
    <t>Vanessa Chavez</t>
  </si>
  <si>
    <t>Chavez, Fry, Tot, Merritt</t>
  </si>
  <si>
    <t>Reid Good</t>
  </si>
  <si>
    <t>Thompson, Wells, Bridge, Sharp, Spear</t>
  </si>
  <si>
    <t>Christopher Sharp</t>
  </si>
  <si>
    <t>Garza, Miller, Mclean, Collier, Hurley</t>
  </si>
  <si>
    <t>Jessica Lowe</t>
  </si>
  <si>
    <t>Ramsy, West, Parry, Richardson, Bond M</t>
  </si>
  <si>
    <t>Evie Williamson</t>
  </si>
  <si>
    <t>Makai Bond</t>
  </si>
  <si>
    <t>Paul Garza</t>
  </si>
  <si>
    <t>Lamar Fry</t>
  </si>
  <si>
    <t>Natalie Porter</t>
  </si>
  <si>
    <t>Jim Mcguire</t>
  </si>
  <si>
    <t>Robert Hurley</t>
  </si>
  <si>
    <t>Robert Spear</t>
  </si>
  <si>
    <t>Aydin Merritt</t>
  </si>
  <si>
    <t>James Willard</t>
  </si>
  <si>
    <t>Zac Fletcher</t>
  </si>
  <si>
    <t>Kristina Mclean</t>
  </si>
  <si>
    <t>Maria Tot</t>
  </si>
  <si>
    <t>Wolfgang Ramjac</t>
  </si>
  <si>
    <t>Peter Ramsy</t>
  </si>
  <si>
    <t>Matilda Collier</t>
  </si>
  <si>
    <t>Paul Wells</t>
  </si>
  <si>
    <t>Ewan Thompson</t>
  </si>
  <si>
    <t>Robert Blume</t>
  </si>
  <si>
    <t>Brigitte Bond</t>
  </si>
  <si>
    <t>Stevie Bridge</t>
  </si>
  <si>
    <t>Robert Richardson</t>
  </si>
  <si>
    <t>Today's date</t>
  </si>
  <si>
    <t>Today's date &amp; time</t>
  </si>
  <si>
    <t>Date</t>
  </si>
  <si>
    <t>Year</t>
  </si>
  <si>
    <t>Month</t>
  </si>
  <si>
    <t>Day</t>
  </si>
  <si>
    <t>Number of days to the above date</t>
  </si>
  <si>
    <t>Week Day</t>
  </si>
  <si>
    <t>Week Number</t>
  </si>
  <si>
    <t>Date for last day of the month</t>
  </si>
  <si>
    <t>Date for first day of the month</t>
  </si>
  <si>
    <t>Try This:</t>
  </si>
  <si>
    <t>How many days left till the end of the month?</t>
  </si>
  <si>
    <t>How many days left till the end of NEXT month?</t>
  </si>
  <si>
    <t>Time</t>
  </si>
  <si>
    <t>Stored as</t>
  </si>
  <si>
    <t>How it's calculated</t>
  </si>
  <si>
    <t>Start Time</t>
  </si>
  <si>
    <t>End Time</t>
  </si>
  <si>
    <t>Time Worked</t>
  </si>
  <si>
    <t>Hours worked</t>
  </si>
  <si>
    <t>Monday</t>
  </si>
  <si>
    <t>Tuesday</t>
  </si>
  <si>
    <t>Wednesday</t>
  </si>
  <si>
    <t>Thursday</t>
  </si>
  <si>
    <t>Friday</t>
  </si>
  <si>
    <t>Total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</si>
</sst>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"/>
    <numFmt numFmtId="165" formatCode="d-mmm-yyyy"/>
    <numFmt numFmtId="166" formatCode="dddd"/>
    <numFmt numFmtId="167" formatCode="m/d/yyyy"/>
    <numFmt numFmtId="168" formatCode="h:mm am/pm"/>
    <numFmt numFmtId="169" formatCode="h:mm:ss am/pm"/>
    <numFmt numFmtId="170" formatCode="M/d/yyyy H:mm:ss"/>
  </numFmts>
  <fonts count="18">
    <font>
      <sz val="10.0"/>
      <color rgb="FF000000"/>
      <name val="Roboto"/>
      <scheme val="minor"/>
    </font>
    <font>
      <color theme="1"/>
      <name val="Roboto"/>
      <scheme val="minor"/>
    </font>
    <font>
      <b/>
      <color rgb="FFFFF2CC"/>
      <name val="Roboto"/>
      <scheme val="minor"/>
    </font>
    <font>
      <b/>
      <sz val="14.0"/>
      <color rgb="FFFFFFFF"/>
      <name val="Roboto"/>
      <scheme val="minor"/>
    </font>
    <font>
      <b/>
      <color rgb="FFFFFFFF"/>
      <name val="Roboto"/>
      <scheme val="minor"/>
    </font>
    <font>
      <u/>
      <color rgb="FF1155CC"/>
      <name val="Roboto"/>
      <scheme val="minor"/>
    </font>
    <font>
      <b/>
      <color theme="1"/>
      <name val="Roboto"/>
      <scheme val="minor"/>
    </font>
    <font>
      <u/>
      <color rgb="FF1155CC"/>
    </font>
    <font>
      <u/>
      <color rgb="FF1155CC"/>
    </font>
    <font>
      <b/>
      <sz val="11.0"/>
      <color theme="1"/>
      <name val="Roboto"/>
      <scheme val="minor"/>
    </font>
    <font>
      <b/>
      <color theme="1"/>
      <name val="Roboto"/>
    </font>
    <font>
      <color theme="1"/>
      <name val="Roboto"/>
    </font>
    <font>
      <b/>
      <sz val="11.0"/>
      <color theme="1"/>
      <name val="Roboto"/>
    </font>
    <font>
      <sz val="10.0"/>
      <color theme="1"/>
      <name val="Roboto"/>
    </font>
    <font>
      <b/>
      <sz val="10.0"/>
      <color rgb="FF000000"/>
      <name val="Roboto"/>
    </font>
    <font>
      <sz val="10.0"/>
      <color rgb="FF000000"/>
      <name val="Roboto"/>
    </font>
    <font>
      <sz val="10.0"/>
      <color theme="1"/>
      <name val="Roboto"/>
      <scheme val="minor"/>
    </font>
    <font>
      <b/>
      <sz val="10.0"/>
      <color rgb="FF000000"/>
      <name val="Roboto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F4FFF9"/>
        <bgColor rgb="FFF4FFF9"/>
      </patternFill>
    </fill>
    <fill>
      <patternFill patternType="solid">
        <fgColor rgb="FFFFFAEC"/>
        <bgColor rgb="FFFFFAEC"/>
      </patternFill>
    </fill>
    <fill>
      <patternFill patternType="solid">
        <fgColor rgb="FFB7B7B7"/>
        <bgColor rgb="FFB7B7B7"/>
      </patternFill>
    </fill>
    <fill>
      <patternFill patternType="solid">
        <fgColor rgb="FFFAE5E5"/>
        <bgColor rgb="FFFAE5E5"/>
      </patternFill>
    </fill>
  </fills>
  <borders count="11">
    <border/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bottom style="thin">
        <color rgb="FF434343"/>
      </bottom>
    </border>
    <border>
      <bottom style="thick">
        <color rgb="FF3E50B3"/>
      </bottom>
    </border>
    <border>
      <bottom style="thick">
        <color rgb="FF02A846"/>
      </bottom>
    </border>
    <border>
      <top style="thin">
        <color rgb="FFEFEFE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A64D79"/>
      </bottom>
    </border>
    <border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1" numFmtId="0" xfId="0" applyFill="1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1" numFmtId="0" xfId="0" applyBorder="1" applyFont="1"/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8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0" fillId="3" fontId="1" numFmtId="0" xfId="0" applyAlignment="1" applyFont="1">
      <alignment shrinkToFit="0" wrapText="1"/>
    </xf>
    <xf borderId="3" fillId="0" fontId="9" numFmtId="0" xfId="0" applyAlignment="1" applyBorder="1" applyFont="1">
      <alignment readingOrder="0"/>
    </xf>
    <xf borderId="3" fillId="0" fontId="1" numFmtId="0" xfId="0" applyBorder="1" applyFont="1"/>
    <xf borderId="0" fillId="0" fontId="1" numFmtId="0" xfId="0" applyAlignment="1" applyFont="1">
      <alignment readingOrder="0"/>
    </xf>
    <xf borderId="4" fillId="0" fontId="10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horizontal="left" readingOrder="0" vertical="bottom"/>
    </xf>
    <xf borderId="1" fillId="4" fontId="1" numFmtId="0" xfId="0" applyAlignment="1" applyBorder="1" applyFill="1" applyFont="1">
      <alignment readingOrder="0"/>
    </xf>
    <xf borderId="0" fillId="0" fontId="1" numFmtId="0" xfId="0" applyFont="1"/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5" fillId="0" fontId="10" numFmtId="0" xfId="0" applyAlignment="1" applyBorder="1" applyFont="1">
      <alignment horizontal="left" readingOrder="0" shrinkToFit="0" vertical="bottom" wrapText="1"/>
    </xf>
    <xf borderId="0" fillId="4" fontId="1" numFmtId="0" xfId="0" applyAlignment="1" applyFont="1">
      <alignment readingOrder="0"/>
    </xf>
    <xf borderId="6" fillId="0" fontId="1" numFmtId="0" xfId="0" applyBorder="1" applyFont="1"/>
    <xf borderId="7" fillId="5" fontId="1" numFmtId="0" xfId="0" applyAlignment="1" applyBorder="1" applyFill="1" applyFont="1">
      <alignment readingOrder="0"/>
    </xf>
    <xf borderId="0" fillId="0" fontId="10" numFmtId="0" xfId="0" applyAlignment="1" applyFont="1">
      <alignment horizontal="left" readingOrder="0" vertical="bottom"/>
    </xf>
    <xf borderId="0" fillId="4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4" fontId="6" numFmtId="0" xfId="0" applyAlignment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8" fillId="0" fontId="6" numFmtId="0" xfId="0" applyAlignment="1" applyBorder="1" applyFont="1">
      <alignment readingOrder="0"/>
    </xf>
    <xf borderId="1" fillId="0" fontId="1" numFmtId="0" xfId="0" applyAlignment="1" applyBorder="1" applyFont="1">
      <alignment horizontal="left"/>
    </xf>
    <xf borderId="3" fillId="0" fontId="12" numFmtId="0" xfId="0" applyAlignment="1" applyBorder="1" applyFont="1">
      <alignment readingOrder="0"/>
    </xf>
    <xf borderId="3" fillId="0" fontId="13" numFmtId="0" xfId="0" applyBorder="1" applyFont="1"/>
    <xf borderId="0" fillId="0" fontId="13" numFmtId="0" xfId="0" applyFont="1"/>
    <xf borderId="0" fillId="0" fontId="14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7" fillId="5" fontId="1" numFmtId="14" xfId="0" applyAlignment="1" applyBorder="1" applyFont="1" applyNumberFormat="1">
      <alignment readingOrder="0"/>
    </xf>
    <xf borderId="7" fillId="5" fontId="1" numFmtId="164" xfId="0" applyAlignment="1" applyBorder="1" applyFont="1" applyNumberFormat="1">
      <alignment readingOrder="0"/>
    </xf>
    <xf borderId="0" fillId="0" fontId="13" numFmtId="0" xfId="0" applyAlignment="1" applyFont="1">
      <alignment readingOrder="0"/>
    </xf>
    <xf borderId="0" fillId="0" fontId="15" numFmtId="0" xfId="0" applyAlignment="1" applyFont="1">
      <alignment shrinkToFit="0" vertical="bottom" wrapText="0"/>
    </xf>
    <xf borderId="7" fillId="5" fontId="1" numFmtId="165" xfId="0" applyAlignment="1" applyBorder="1" applyFont="1" applyNumberFormat="1">
      <alignment readingOrder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1"/>
    </xf>
    <xf borderId="7" fillId="4" fontId="1" numFmtId="0" xfId="0" applyAlignment="1" applyBorder="1" applyFont="1">
      <alignment readingOrder="0"/>
    </xf>
    <xf borderId="7" fillId="4" fontId="1" numFmtId="14" xfId="0" applyAlignment="1" applyBorder="1" applyFont="1" applyNumberFormat="1">
      <alignment readingOrder="0"/>
    </xf>
    <xf borderId="7" fillId="4" fontId="1" numFmtId="166" xfId="0" applyAlignment="1" applyBorder="1" applyFont="1" applyNumberFormat="1">
      <alignment readingOrder="0"/>
    </xf>
    <xf borderId="0" fillId="0" fontId="15" numFmtId="167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readingOrder="0" shrinkToFit="0" vertical="bottom" wrapText="0"/>
    </xf>
    <xf borderId="9" fillId="0" fontId="14" numFmtId="0" xfId="0" applyAlignment="1" applyBorder="1" applyFont="1">
      <alignment readingOrder="0" shrinkToFit="0" vertical="bottom" wrapText="0"/>
    </xf>
    <xf borderId="9" fillId="0" fontId="14" numFmtId="0" xfId="0" applyAlignment="1" applyBorder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3" numFmtId="166" xfId="0" applyFont="1" applyNumberFormat="1"/>
    <xf borderId="3" fillId="0" fontId="16" numFmtId="0" xfId="0" applyBorder="1" applyFont="1"/>
    <xf borderId="0" fillId="0" fontId="16" numFmtId="0" xfId="0" applyFont="1"/>
    <xf borderId="0" fillId="0" fontId="0" numFmtId="0" xfId="0" applyAlignment="1" applyFont="1">
      <alignment shrinkToFit="0" vertical="bottom" wrapText="0"/>
    </xf>
    <xf borderId="10" fillId="5" fontId="0" numFmtId="168" xfId="0" applyAlignment="1" applyBorder="1" applyFont="1" applyNumberFormat="1">
      <alignment horizontal="right" readingOrder="0" shrinkToFit="0" vertical="bottom" wrapText="0"/>
    </xf>
    <xf borderId="10" fillId="5" fontId="0" numFmtId="0" xfId="0" applyAlignment="1" applyBorder="1" applyFont="1">
      <alignment horizontal="right" readingOrder="0" shrinkToFit="0" vertical="bottom" wrapText="0"/>
    </xf>
    <xf borderId="10" fillId="4" fontId="0" numFmtId="0" xfId="0" applyAlignment="1" applyBorder="1" applyFont="1">
      <alignment horizontal="right" readingOrder="0" shrinkToFit="0" vertical="bottom" wrapText="0"/>
    </xf>
    <xf borderId="0" fillId="0" fontId="0" numFmtId="0" xfId="0" applyAlignment="1" applyFont="1">
      <alignment horizontal="right" shrinkToFit="0" vertical="bottom" wrapText="0"/>
    </xf>
    <xf borderId="10" fillId="5" fontId="0" numFmtId="168" xfId="0" applyAlignment="1" applyBorder="1" applyFont="1" applyNumberFormat="1">
      <alignment readingOrder="0" shrinkToFit="0" vertical="bottom" wrapText="0"/>
    </xf>
    <xf borderId="10" fillId="5" fontId="0" numFmtId="0" xfId="0" applyAlignment="1" applyBorder="1" applyFont="1">
      <alignment readingOrder="0" shrinkToFit="0" vertical="bottom" wrapText="0"/>
    </xf>
    <xf borderId="10" fillId="4" fontId="0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10" fillId="4" fontId="0" numFmtId="46" xfId="0" applyAlignment="1" applyBorder="1" applyFont="1" applyNumberFormat="1">
      <alignment horizontal="right" readingOrder="0" shrinkToFit="0" vertical="bottom" wrapText="0"/>
    </xf>
    <xf borderId="10" fillId="4" fontId="0" numFmtId="4" xfId="0" applyAlignment="1" applyBorder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6" numFmtId="4" xfId="0" applyFont="1" applyNumberFormat="1"/>
    <xf borderId="0" fillId="0" fontId="16" numFmtId="169" xfId="0" applyAlignment="1" applyFont="1" applyNumberFormat="1">
      <alignment readingOrder="0"/>
    </xf>
    <xf borderId="0" fillId="0" fontId="0" numFmtId="4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16" numFmtId="46" xfId="0" applyFont="1" applyNumberFormat="1"/>
    <xf borderId="10" fillId="5" fontId="0" numFmtId="170" xfId="0" applyAlignment="1" applyBorder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AE5E5"/>
          <bgColor rgb="FFFA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E50B3"/>
      </a:accent1>
      <a:accent2>
        <a:srgbClr val="F44234"/>
      </a:accent2>
      <a:accent3>
        <a:srgbClr val="E2F54C"/>
      </a:accent3>
      <a:accent4>
        <a:srgbClr val="02A846"/>
      </a:accent4>
      <a:accent5>
        <a:srgbClr val="E71D62"/>
      </a:accent5>
      <a:accent6>
        <a:srgbClr val="9B26AE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1D6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9.5"/>
    <col customWidth="1" min="3" max="3" width="36.75"/>
    <col customWidth="1" min="4" max="4" width="3.13"/>
    <col customWidth="1" min="5" max="5" width="21.75"/>
    <col customWidth="1" min="6" max="6" width="37.63"/>
    <col customWidth="1" min="7" max="7" width="7.63"/>
  </cols>
  <sheetData>
    <row r="1">
      <c r="A1" s="1"/>
      <c r="B1" s="2" t="s">
        <v>0</v>
      </c>
    </row>
    <row r="2">
      <c r="A2" s="1"/>
      <c r="B2" s="3" t="s">
        <v>1</v>
      </c>
    </row>
    <row r="3">
      <c r="A3" s="4"/>
      <c r="B3" s="5"/>
      <c r="C3" s="4"/>
      <c r="D3" s="4"/>
      <c r="E3" s="6"/>
      <c r="F3" s="4"/>
      <c r="G3" s="4"/>
    </row>
    <row r="4" ht="24.75" customHeight="1">
      <c r="B4" s="7" t="s">
        <v>2</v>
      </c>
      <c r="C4" s="7" t="s">
        <v>3</v>
      </c>
      <c r="D4" s="8"/>
      <c r="E4" s="7" t="s">
        <v>4</v>
      </c>
      <c r="F4" s="7" t="s">
        <v>5</v>
      </c>
      <c r="G4" s="8"/>
    </row>
    <row r="5" ht="24.0" customHeight="1">
      <c r="A5" s="9"/>
      <c r="B5" s="10" t="s">
        <v>2</v>
      </c>
      <c r="C5" s="11" t="s">
        <v>6</v>
      </c>
      <c r="D5" s="9"/>
      <c r="E5" s="12" t="s">
        <v>7</v>
      </c>
      <c r="F5" s="9"/>
      <c r="G5" s="9"/>
    </row>
    <row r="6">
      <c r="A6" s="13"/>
      <c r="B6" s="14" t="s">
        <v>2</v>
      </c>
      <c r="C6" s="15" t="s">
        <v>8</v>
      </c>
      <c r="D6" s="13"/>
      <c r="E6" s="16" t="s">
        <v>7</v>
      </c>
      <c r="F6" s="13"/>
      <c r="G6" s="13"/>
    </row>
    <row r="7">
      <c r="A7" s="13"/>
      <c r="B7" s="14" t="s">
        <v>2</v>
      </c>
      <c r="C7" s="15" t="s">
        <v>9</v>
      </c>
      <c r="D7" s="13"/>
      <c r="E7" s="16" t="s">
        <v>7</v>
      </c>
      <c r="F7" s="13"/>
      <c r="G7" s="13"/>
    </row>
    <row r="8">
      <c r="A8" s="13"/>
      <c r="B8" s="14" t="s">
        <v>2</v>
      </c>
      <c r="C8" s="15" t="s">
        <v>10</v>
      </c>
      <c r="D8" s="13"/>
      <c r="E8" s="16" t="s">
        <v>7</v>
      </c>
      <c r="F8" s="13"/>
      <c r="G8" s="13"/>
    </row>
    <row r="9">
      <c r="A9" s="13"/>
      <c r="B9" s="14" t="s">
        <v>2</v>
      </c>
      <c r="C9" s="15" t="s">
        <v>11</v>
      </c>
      <c r="D9" s="13"/>
      <c r="E9" s="16" t="s">
        <v>7</v>
      </c>
      <c r="F9" s="13"/>
      <c r="G9" s="13"/>
    </row>
    <row r="10">
      <c r="A10" s="13"/>
      <c r="B10" s="13"/>
      <c r="C10" s="15"/>
      <c r="D10" s="13"/>
      <c r="E10" s="16"/>
      <c r="F10" s="13"/>
      <c r="G10" s="13"/>
    </row>
    <row r="11">
      <c r="A11" s="13"/>
      <c r="B11" s="13"/>
      <c r="C11" s="15"/>
      <c r="D11" s="13"/>
      <c r="E11" s="16"/>
      <c r="F11" s="13"/>
      <c r="G11" s="13"/>
    </row>
    <row r="12" ht="9.75" customHeight="1">
      <c r="A12" s="4"/>
      <c r="B12" s="4"/>
      <c r="C12" s="17"/>
      <c r="D12" s="4"/>
      <c r="E12" s="4"/>
      <c r="F12" s="4"/>
      <c r="G12" s="4"/>
    </row>
  </sheetData>
  <mergeCells count="2">
    <mergeCell ref="B1:G1"/>
    <mergeCell ref="B2:G2"/>
  </mergeCells>
  <conditionalFormatting sqref="B5:F11">
    <cfRule type="expression" dxfId="0" priority="1">
      <formula>$E5="Done &amp; Understood"</formula>
    </cfRule>
  </conditionalFormatting>
  <conditionalFormatting sqref="B5:F11">
    <cfRule type="expression" dxfId="1" priority="2">
      <formula>$E5="Done but needs practice"</formula>
    </cfRule>
  </conditionalFormatting>
  <conditionalFormatting sqref="B5:F11">
    <cfRule type="expression" dxfId="2" priority="3">
      <formula>$E5="Review Later"</formula>
    </cfRule>
  </conditionalFormatting>
  <dataValidations>
    <dataValidation type="list" allowBlank="1" showInputMessage="1" prompt="Select your level of understanding" sqref="E5:E9">
      <formula1>"Select One…,Done &amp; Understood,Done but needs practice,Review Later"</formula1>
    </dataValidation>
  </dataValidations>
  <hyperlinks>
    <hyperlink display="LINK" location="Text!A1" ref="B5"/>
    <hyperlink display="LINK" location="Search!A1" ref="B6"/>
    <hyperlink display="LINK" location="'Split Join'!A1" ref="B7"/>
    <hyperlink display="LINK" location="Date!A1" ref="B8"/>
    <hyperlink display="LINK" location="Time!A1" ref="B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13"/>
    <col customWidth="1" min="2" max="2" width="16.88"/>
    <col customWidth="1" min="3" max="3" width="15.75"/>
    <col customWidth="1" min="4" max="5" width="14.75"/>
    <col customWidth="1" min="6" max="7" width="4.63"/>
    <col customWidth="1" min="8" max="8" width="15.25"/>
    <col customWidth="1" min="9" max="9" width="19.5"/>
    <col customWidth="1" min="10" max="10" width="17.5"/>
    <col customWidth="1" min="11" max="11" width="13.88"/>
    <col customWidth="1" min="12" max="12" width="23.75"/>
  </cols>
  <sheetData>
    <row r="1">
      <c r="A1" s="18" t="s">
        <v>12</v>
      </c>
      <c r="B1" s="19"/>
      <c r="C1" s="19"/>
      <c r="D1" s="19"/>
      <c r="H1" s="7" t="s">
        <v>13</v>
      </c>
    </row>
    <row r="2">
      <c r="H2" s="20" t="s">
        <v>14</v>
      </c>
      <c r="K2" s="20" t="s">
        <v>15</v>
      </c>
    </row>
    <row r="3">
      <c r="A3" s="21" t="s">
        <v>16</v>
      </c>
      <c r="B3" s="22" t="s">
        <v>17</v>
      </c>
      <c r="C3" s="22" t="s">
        <v>18</v>
      </c>
      <c r="D3" s="22" t="s">
        <v>19</v>
      </c>
      <c r="H3" s="21" t="s">
        <v>16</v>
      </c>
      <c r="I3" s="22" t="s">
        <v>20</v>
      </c>
      <c r="K3" s="21" t="s">
        <v>16</v>
      </c>
      <c r="L3" s="21" t="s">
        <v>21</v>
      </c>
    </row>
    <row r="4">
      <c r="A4" s="9" t="s">
        <v>22</v>
      </c>
      <c r="B4" s="23" t="str">
        <f t="shared" ref="B4:B10" si="1">upper(A4)</f>
        <v>MATILDA PARRY</v>
      </c>
      <c r="C4" s="23" t="str">
        <f t="shared" ref="C4:C10" si="2">lower(A4)</f>
        <v>matilda parry</v>
      </c>
      <c r="D4" s="23" t="str">
        <f t="shared" ref="D4:D10" si="3">PROPER(A4)</f>
        <v>Matilda Parry</v>
      </c>
      <c r="G4" s="24">
        <f t="shared" ref="G4:G8" si="4">len(H4)</f>
        <v>13</v>
      </c>
      <c r="H4" s="9" t="s">
        <v>22</v>
      </c>
      <c r="I4" s="23" t="str">
        <f t="shared" ref="I4:I8" si="5">VLOOKUP(trim(H4),$K$4:$L$10,2,false)</f>
        <v>Marketing</v>
      </c>
      <c r="J4" s="25"/>
      <c r="K4" s="24" t="s">
        <v>23</v>
      </c>
      <c r="L4" s="24" t="s">
        <v>24</v>
      </c>
    </row>
    <row r="5">
      <c r="A5" s="9" t="s">
        <v>25</v>
      </c>
      <c r="B5" s="23" t="str">
        <f t="shared" si="1"/>
        <v>CHARLIE CHAMBERS</v>
      </c>
      <c r="C5" s="23" t="str">
        <f t="shared" si="2"/>
        <v>charlie chambers</v>
      </c>
      <c r="D5" s="23" t="str">
        <f t="shared" si="3"/>
        <v>Charlie Chambers</v>
      </c>
      <c r="G5" s="24">
        <f t="shared" si="4"/>
        <v>17</v>
      </c>
      <c r="H5" s="9" t="s">
        <v>26</v>
      </c>
      <c r="I5" s="23" t="str">
        <f t="shared" si="5"/>
        <v>Marketing</v>
      </c>
      <c r="J5" s="25"/>
      <c r="K5" s="24" t="s">
        <v>27</v>
      </c>
      <c r="L5" s="24" t="s">
        <v>28</v>
      </c>
    </row>
    <row r="6">
      <c r="A6" s="9" t="s">
        <v>29</v>
      </c>
      <c r="B6" s="23" t="str">
        <f t="shared" si="1"/>
        <v>TOMMY DIXON</v>
      </c>
      <c r="C6" s="23" t="str">
        <f t="shared" si="2"/>
        <v>tommy dixon</v>
      </c>
      <c r="D6" s="23" t="str">
        <f t="shared" si="3"/>
        <v>Tommy Dixon</v>
      </c>
      <c r="G6" s="24">
        <f t="shared" si="4"/>
        <v>11</v>
      </c>
      <c r="H6" s="9" t="s">
        <v>29</v>
      </c>
      <c r="I6" s="23" t="str">
        <f t="shared" si="5"/>
        <v>Sales</v>
      </c>
      <c r="J6" s="25"/>
      <c r="K6" s="24" t="s">
        <v>30</v>
      </c>
      <c r="L6" s="24" t="s">
        <v>28</v>
      </c>
    </row>
    <row r="7">
      <c r="A7" s="9" t="s">
        <v>31</v>
      </c>
      <c r="B7" s="23" t="str">
        <f t="shared" si="1"/>
        <v>HARRY BURKE</v>
      </c>
      <c r="C7" s="23" t="str">
        <f t="shared" si="2"/>
        <v>harry burke</v>
      </c>
      <c r="D7" s="23" t="str">
        <f t="shared" si="3"/>
        <v>Harry Burke</v>
      </c>
      <c r="G7" s="24">
        <f t="shared" si="4"/>
        <v>11</v>
      </c>
      <c r="H7" s="9" t="s">
        <v>31</v>
      </c>
      <c r="I7" s="23" t="str">
        <f t="shared" si="5"/>
        <v>Sales</v>
      </c>
      <c r="J7" s="25"/>
      <c r="K7" s="24" t="s">
        <v>32</v>
      </c>
      <c r="L7" s="24" t="s">
        <v>33</v>
      </c>
    </row>
    <row r="8">
      <c r="A8" s="9" t="s">
        <v>34</v>
      </c>
      <c r="B8" s="23" t="str">
        <f t="shared" si="1"/>
        <v>JUDY BELL</v>
      </c>
      <c r="C8" s="23" t="str">
        <f t="shared" si="2"/>
        <v>judy bell</v>
      </c>
      <c r="D8" s="23" t="str">
        <f t="shared" si="3"/>
        <v>Judy Bell</v>
      </c>
      <c r="G8" s="24">
        <f t="shared" si="4"/>
        <v>10</v>
      </c>
      <c r="H8" s="9" t="s">
        <v>35</v>
      </c>
      <c r="I8" s="23" t="str">
        <f t="shared" si="5"/>
        <v>Marketing</v>
      </c>
      <c r="J8" s="25"/>
      <c r="K8" s="24" t="s">
        <v>34</v>
      </c>
      <c r="L8" s="24" t="s">
        <v>28</v>
      </c>
    </row>
    <row r="9">
      <c r="A9" s="9" t="s">
        <v>27</v>
      </c>
      <c r="B9" s="23" t="str">
        <f t="shared" si="1"/>
        <v>HEIDI MEDINA</v>
      </c>
      <c r="C9" s="23" t="str">
        <f t="shared" si="2"/>
        <v>heidi medina</v>
      </c>
      <c r="D9" s="23" t="str">
        <f t="shared" si="3"/>
        <v>Heidi Medina</v>
      </c>
      <c r="H9" s="26"/>
      <c r="J9" s="26"/>
      <c r="K9" s="24" t="s">
        <v>36</v>
      </c>
      <c r="L9" s="24" t="s">
        <v>24</v>
      </c>
    </row>
    <row r="10">
      <c r="A10" s="9" t="s">
        <v>37</v>
      </c>
      <c r="B10" s="23" t="str">
        <f t="shared" si="1"/>
        <v>BETINA BAUER</v>
      </c>
      <c r="C10" s="23" t="str">
        <f t="shared" si="2"/>
        <v>betina bauer</v>
      </c>
      <c r="D10" s="23" t="str">
        <f t="shared" si="3"/>
        <v>Betina Bauer</v>
      </c>
      <c r="G10" s="24">
        <f t="shared" ref="G10:G14" si="6">len(H10)</f>
        <v>13</v>
      </c>
      <c r="H10" s="27" t="str">
        <f t="shared" ref="H10:H14" si="7">trim(H4)</f>
        <v>matilda parry</v>
      </c>
      <c r="J10" s="25"/>
      <c r="K10" s="24" t="s">
        <v>38</v>
      </c>
      <c r="L10" s="24" t="s">
        <v>28</v>
      </c>
    </row>
    <row r="11">
      <c r="G11" s="24">
        <f t="shared" si="6"/>
        <v>16</v>
      </c>
      <c r="H11" s="27" t="str">
        <f t="shared" si="7"/>
        <v>Charlie Chambers</v>
      </c>
    </row>
    <row r="12">
      <c r="G12" s="24">
        <f t="shared" si="6"/>
        <v>11</v>
      </c>
      <c r="H12" s="27" t="str">
        <f t="shared" si="7"/>
        <v>Tommy dixon</v>
      </c>
    </row>
    <row r="13">
      <c r="A13" s="21" t="s">
        <v>39</v>
      </c>
      <c r="B13" s="28" t="s">
        <v>40</v>
      </c>
      <c r="C13" s="28" t="s">
        <v>41</v>
      </c>
      <c r="D13" s="28" t="s">
        <v>42</v>
      </c>
      <c r="G13" s="24">
        <f t="shared" si="6"/>
        <v>11</v>
      </c>
      <c r="H13" s="27" t="str">
        <f t="shared" si="7"/>
        <v>harry BURKE</v>
      </c>
    </row>
    <row r="14">
      <c r="A14" s="9" t="s">
        <v>43</v>
      </c>
      <c r="B14" s="23" t="str">
        <f t="shared" ref="B14:B17" si="8">left(A14,2)</f>
        <v>GA</v>
      </c>
      <c r="C14" s="23" t="str">
        <f t="shared" ref="C14:C17" si="9">mid(A14,3,3)</f>
        <v>150</v>
      </c>
      <c r="D14" s="23" t="str">
        <f t="shared" ref="D14:D17" si="10">RIGHT(A14,2)</f>
        <v>AT</v>
      </c>
      <c r="G14" s="24">
        <f t="shared" si="6"/>
        <v>9</v>
      </c>
      <c r="H14" s="27" t="str">
        <f t="shared" si="7"/>
        <v>Judy Bell</v>
      </c>
    </row>
    <row r="15">
      <c r="A15" s="9" t="s">
        <v>44</v>
      </c>
      <c r="B15" s="23" t="str">
        <f t="shared" si="8"/>
        <v>PR</v>
      </c>
      <c r="C15" s="23" t="str">
        <f t="shared" si="9"/>
        <v>120</v>
      </c>
      <c r="D15" s="23" t="str">
        <f t="shared" si="10"/>
        <v>DE</v>
      </c>
    </row>
    <row r="16">
      <c r="A16" s="9" t="s">
        <v>45</v>
      </c>
      <c r="B16" s="23" t="str">
        <f t="shared" si="8"/>
        <v>UT</v>
      </c>
      <c r="C16" s="23" t="str">
        <f t="shared" si="9"/>
        <v>130</v>
      </c>
      <c r="D16" s="23" t="str">
        <f t="shared" si="10"/>
        <v>US</v>
      </c>
    </row>
    <row r="17">
      <c r="A17" s="9" t="s">
        <v>46</v>
      </c>
      <c r="B17" s="23" t="str">
        <f t="shared" si="8"/>
        <v>GA</v>
      </c>
      <c r="C17" s="23" t="str">
        <f t="shared" si="9"/>
        <v>160</v>
      </c>
      <c r="D17" s="23" t="str">
        <f t="shared" si="10"/>
        <v>DE</v>
      </c>
    </row>
    <row r="19">
      <c r="A19" s="7" t="s">
        <v>47</v>
      </c>
    </row>
    <row r="20">
      <c r="A20" s="29" t="str">
        <f t="array" ref="A20:E21">TRANSPOSE(A13:B17)</f>
        <v>Company Code</v>
      </c>
      <c r="B20" s="24" t="s">
        <v>43</v>
      </c>
      <c r="C20" s="24" t="s">
        <v>44</v>
      </c>
      <c r="D20" s="24" t="s">
        <v>45</v>
      </c>
      <c r="E20" s="24" t="s">
        <v>46</v>
      </c>
    </row>
    <row r="21">
      <c r="A21" s="24" t="s">
        <v>40</v>
      </c>
      <c r="B21" s="24" t="s">
        <v>48</v>
      </c>
      <c r="C21" s="24" t="s">
        <v>49</v>
      </c>
      <c r="D21" s="24" t="s">
        <v>50</v>
      </c>
      <c r="E21" s="24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7.88"/>
    <col customWidth="1" min="2" max="2" width="18.75"/>
    <col customWidth="1" min="3" max="3" width="24.25"/>
    <col customWidth="1" min="4" max="4" width="24.88"/>
    <col customWidth="1" min="5" max="5" width="17.88"/>
    <col customWidth="1" min="7" max="7" width="15.25"/>
    <col customWidth="1" min="8" max="8" width="15.5"/>
    <col customWidth="1" min="9" max="9" width="4.63"/>
    <col customWidth="1" min="10" max="10" width="14.75"/>
    <col customWidth="1" min="11" max="11" width="23.75"/>
  </cols>
  <sheetData>
    <row r="1">
      <c r="A1" s="18" t="s">
        <v>8</v>
      </c>
      <c r="B1" s="19"/>
      <c r="C1" s="19"/>
      <c r="D1" s="19"/>
      <c r="E1" s="19"/>
    </row>
    <row r="2">
      <c r="C2" s="8"/>
    </row>
    <row r="3">
      <c r="A3" s="21" t="s">
        <v>16</v>
      </c>
      <c r="B3" s="21" t="s">
        <v>51</v>
      </c>
      <c r="C3" s="22" t="s">
        <v>52</v>
      </c>
      <c r="D3" s="22" t="s">
        <v>53</v>
      </c>
      <c r="E3" s="22" t="s">
        <v>54</v>
      </c>
    </row>
    <row r="4">
      <c r="A4" s="9" t="s">
        <v>38</v>
      </c>
      <c r="B4" s="9" t="s">
        <v>55</v>
      </c>
      <c r="C4" s="23" t="str">
        <f t="shared" ref="C4:C10" si="1">SUBSTITUTE(lower(B4),"creativity","creative")</f>
        <v>creative, writing, tech</v>
      </c>
      <c r="D4" s="23" t="str">
        <f t="shared" ref="D4:D10" si="2">SUBSTITUTE(B4,","," |")</f>
        <v>creativity | writing | tech</v>
      </c>
      <c r="E4" s="23" t="str">
        <f t="shared" ref="E4:E10" si="3">SUBSTITUTE(SUBSTITUTE(lower(B4),"creativity","creative"),","," |")</f>
        <v>creative | writing | tech</v>
      </c>
    </row>
    <row r="5">
      <c r="A5" s="13" t="s">
        <v>30</v>
      </c>
      <c r="B5" s="13" t="s">
        <v>56</v>
      </c>
      <c r="C5" s="23" t="str">
        <f t="shared" si="1"/>
        <v>negotiation, creative</v>
      </c>
      <c r="D5" s="23" t="str">
        <f t="shared" si="2"/>
        <v>negotiation | creativity</v>
      </c>
      <c r="E5" s="23" t="str">
        <f t="shared" si="3"/>
        <v>negotiation | creative</v>
      </c>
    </row>
    <row r="6">
      <c r="A6" s="13" t="s">
        <v>23</v>
      </c>
      <c r="B6" s="13" t="s">
        <v>57</v>
      </c>
      <c r="C6" s="23" t="str">
        <f t="shared" si="1"/>
        <v>tech</v>
      </c>
      <c r="D6" s="23" t="str">
        <f t="shared" si="2"/>
        <v>Tech</v>
      </c>
      <c r="E6" s="23" t="str">
        <f t="shared" si="3"/>
        <v>tech</v>
      </c>
    </row>
    <row r="7">
      <c r="A7" s="13" t="s">
        <v>36</v>
      </c>
      <c r="B7" s="13" t="s">
        <v>58</v>
      </c>
      <c r="C7" s="23" t="str">
        <f t="shared" si="1"/>
        <v>writing, tech</v>
      </c>
      <c r="D7" s="23" t="str">
        <f t="shared" si="2"/>
        <v>Writing | tech</v>
      </c>
      <c r="E7" s="23" t="str">
        <f t="shared" si="3"/>
        <v>writing | tech</v>
      </c>
    </row>
    <row r="8">
      <c r="A8" s="13" t="s">
        <v>34</v>
      </c>
      <c r="B8" s="13" t="s">
        <v>59</v>
      </c>
      <c r="C8" s="23" t="str">
        <f t="shared" si="1"/>
        <v>tech, writing</v>
      </c>
      <c r="D8" s="23" t="str">
        <f t="shared" si="2"/>
        <v>tech | writing</v>
      </c>
      <c r="E8" s="23" t="str">
        <f t="shared" si="3"/>
        <v>tech | writing</v>
      </c>
    </row>
    <row r="9">
      <c r="A9" s="13" t="s">
        <v>27</v>
      </c>
      <c r="B9" s="13" t="s">
        <v>60</v>
      </c>
      <c r="C9" s="23" t="str">
        <f t="shared" si="1"/>
        <v>creative, negotiation</v>
      </c>
      <c r="D9" s="23" t="str">
        <f t="shared" si="2"/>
        <v>Creativity | negotiation</v>
      </c>
      <c r="E9" s="23" t="str">
        <f t="shared" si="3"/>
        <v>creative | negotiation</v>
      </c>
    </row>
    <row r="10">
      <c r="A10" s="30" t="s">
        <v>32</v>
      </c>
      <c r="B10" s="30" t="s">
        <v>61</v>
      </c>
      <c r="C10" s="23" t="str">
        <f t="shared" si="1"/>
        <v>communication</v>
      </c>
      <c r="D10" s="23" t="str">
        <f t="shared" si="2"/>
        <v>Communication</v>
      </c>
      <c r="E10" s="23" t="str">
        <f t="shared" si="3"/>
        <v>communication</v>
      </c>
    </row>
    <row r="12" outlineLevel="1"/>
    <row r="13" outlineLevel="1">
      <c r="C13" s="31" t="s">
        <v>62</v>
      </c>
      <c r="E13" s="7" t="s">
        <v>63</v>
      </c>
    </row>
    <row r="14" outlineLevel="1">
      <c r="A14" s="21" t="s">
        <v>16</v>
      </c>
      <c r="B14" s="21" t="s">
        <v>51</v>
      </c>
      <c r="C14" s="22" t="s">
        <v>64</v>
      </c>
      <c r="E14" s="32" t="s">
        <v>65</v>
      </c>
    </row>
    <row r="15" outlineLevel="1">
      <c r="A15" s="9" t="s">
        <v>38</v>
      </c>
      <c r="B15" s="9" t="s">
        <v>55</v>
      </c>
      <c r="C15" s="23" t="str">
        <f t="shared" ref="C15:C21" si="4">if(isnumber(SEARCH($C$13,B15)),"Y","N")</f>
        <v>Y</v>
      </c>
      <c r="E15" s="31" t="s">
        <v>61</v>
      </c>
    </row>
    <row r="16" outlineLevel="1">
      <c r="A16" s="13" t="s">
        <v>30</v>
      </c>
      <c r="B16" s="13" t="s">
        <v>56</v>
      </c>
      <c r="C16" s="23" t="str">
        <f t="shared" si="4"/>
        <v>Y</v>
      </c>
    </row>
    <row r="17" outlineLevel="1">
      <c r="A17" s="13" t="s">
        <v>23</v>
      </c>
      <c r="B17" s="13" t="s">
        <v>57</v>
      </c>
      <c r="C17" s="23" t="str">
        <f t="shared" si="4"/>
        <v>N</v>
      </c>
      <c r="E17" s="33" t="str">
        <f>IFERROR(__xludf.DUMMYFUNCTION("filter(A15:A21,isnumber(search(E15,B15:B21)))"),"Betina Bauer")</f>
        <v>Betina Bauer</v>
      </c>
    </row>
    <row r="18" outlineLevel="1">
      <c r="A18" s="13" t="s">
        <v>36</v>
      </c>
      <c r="B18" s="13" t="s">
        <v>58</v>
      </c>
      <c r="C18" s="23" t="str">
        <f t="shared" si="4"/>
        <v>N</v>
      </c>
    </row>
    <row r="19" outlineLevel="1">
      <c r="A19" s="13" t="s">
        <v>34</v>
      </c>
      <c r="B19" s="13" t="s">
        <v>59</v>
      </c>
      <c r="C19" s="23" t="str">
        <f t="shared" si="4"/>
        <v>N</v>
      </c>
    </row>
    <row r="20" outlineLevel="1">
      <c r="A20" s="13" t="s">
        <v>27</v>
      </c>
      <c r="B20" s="13" t="s">
        <v>60</v>
      </c>
      <c r="C20" s="23" t="str">
        <f t="shared" si="4"/>
        <v>Y</v>
      </c>
    </row>
    <row r="21" outlineLevel="1">
      <c r="A21" s="30" t="s">
        <v>32</v>
      </c>
      <c r="B21" s="30" t="s">
        <v>61</v>
      </c>
      <c r="C21" s="23" t="str">
        <f t="shared" si="4"/>
        <v>N</v>
      </c>
    </row>
    <row r="22" outlineLevel="1"/>
  </sheetData>
  <dataValidations>
    <dataValidation type="list" allowBlank="1" showErrorMessage="1" sqref="C13 E15">
      <formula1>"Creativity,Writing,Tech,Negotiation,Communication"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21.75"/>
    <col customWidth="1" min="3" max="3" width="21.63"/>
    <col customWidth="1" min="4" max="4" width="13.88"/>
    <col customWidth="1" min="8" max="8" width="3.38"/>
    <col customWidth="1" min="9" max="9" width="20.0" outlineLevel="1"/>
    <col customWidth="1" min="10" max="11" width="9.88" outlineLevel="1"/>
    <col customWidth="1" min="12" max="12" width="9.38" outlineLevel="1"/>
    <col customWidth="1" min="13" max="13" width="3.38"/>
    <col customWidth="1" min="14" max="14" width="33.25" outlineLevel="1"/>
    <col customWidth="1" min="15" max="15" width="21.0" outlineLevel="1"/>
    <col customWidth="1" min="17" max="17" width="23.75"/>
  </cols>
  <sheetData>
    <row r="1">
      <c r="A1" s="18" t="s">
        <v>66</v>
      </c>
      <c r="B1" s="19"/>
      <c r="C1" s="19"/>
      <c r="D1" s="19"/>
      <c r="E1" s="19"/>
      <c r="F1" s="19"/>
      <c r="H1" s="34" t="s">
        <v>67</v>
      </c>
      <c r="I1" s="7"/>
      <c r="M1" s="34" t="s">
        <v>67</v>
      </c>
      <c r="N1" s="7" t="s">
        <v>68</v>
      </c>
    </row>
    <row r="2">
      <c r="H2" s="35"/>
      <c r="M2" s="35"/>
      <c r="N2" s="20" t="s">
        <v>69</v>
      </c>
    </row>
    <row r="3">
      <c r="B3" s="36" t="s">
        <v>70</v>
      </c>
      <c r="D3" s="37" t="s">
        <v>71</v>
      </c>
      <c r="H3" s="35"/>
      <c r="M3" s="35"/>
    </row>
    <row r="4">
      <c r="A4" s="21" t="s">
        <v>16</v>
      </c>
      <c r="B4" s="22" t="s">
        <v>72</v>
      </c>
      <c r="C4" s="22" t="s">
        <v>73</v>
      </c>
      <c r="D4" s="38" t="s">
        <v>74</v>
      </c>
      <c r="E4" s="38" t="s">
        <v>75</v>
      </c>
      <c r="F4" s="38" t="s">
        <v>76</v>
      </c>
      <c r="H4" s="35"/>
      <c r="I4" s="21" t="s">
        <v>77</v>
      </c>
      <c r="J4" s="22" t="s">
        <v>70</v>
      </c>
      <c r="M4" s="35"/>
      <c r="N4" s="21" t="s">
        <v>78</v>
      </c>
      <c r="O4" s="22" t="s">
        <v>79</v>
      </c>
    </row>
    <row r="5">
      <c r="A5" s="12" t="s">
        <v>80</v>
      </c>
      <c r="B5" s="9" t="str">
        <f>IFERROR(__xludf.DUMMYFUNCTION("SPLIT(A5,"" "")"),"Walter")</f>
        <v>Walter</v>
      </c>
      <c r="C5" s="9" t="str">
        <f>IFERROR(__xludf.DUMMYFUNCTION("""COMPUTED_VALUE"""),"Miller")</f>
        <v>Miller</v>
      </c>
      <c r="D5" s="9" t="str">
        <f t="shared" ref="D5:D36" si="1">B5&amp;" "&amp;C5</f>
        <v>Walter Miller</v>
      </c>
      <c r="E5" s="9" t="str">
        <f t="shared" ref="E5:E36" si="2">CONCATENATE(B5," ",C5)</f>
        <v>Walter Miller</v>
      </c>
      <c r="F5" s="9" t="str">
        <f>IFERROR(__xludf.DUMMYFUNCTION("join("" "",B5:C5)"),"Walter Miller")</f>
        <v>Walter Miller</v>
      </c>
      <c r="H5" s="35"/>
      <c r="I5" s="12" t="s">
        <v>81</v>
      </c>
      <c r="J5" s="39" t="str">
        <f>IFERROR(__xludf.DUMMYFUNCTION("SPLIT(I5,""/,-"")"),"Ramjac")</f>
        <v>Ramjac</v>
      </c>
      <c r="K5" s="24" t="str">
        <f>IFERROR(__xludf.DUMMYFUNCTION("""COMPUTED_VALUE"""),"Bond")</f>
        <v>Bond</v>
      </c>
      <c r="L5" s="24" t="str">
        <f>IFERROR(__xludf.DUMMYFUNCTION("""COMPUTED_VALUE"""),"Lowe")</f>
        <v>Lowe</v>
      </c>
      <c r="M5" s="35"/>
      <c r="N5" s="9" t="s">
        <v>82</v>
      </c>
      <c r="O5" s="39" t="str">
        <f>IFERROR(__xludf.DUMMYFUNCTION("join("", "",sort(transpose(split(N5,"", "",false))))"),"Blume, Bond B, Dixon, Lowe, Ramjac")</f>
        <v>Blume, Bond B, Dixon, Lowe, Ramjac</v>
      </c>
    </row>
    <row r="6">
      <c r="A6" s="9" t="s">
        <v>83</v>
      </c>
      <c r="B6" s="9" t="str">
        <f>IFERROR(__xludf.DUMMYFUNCTION("SPLIT(A6,"" "")"),"Kim")</f>
        <v>Kim</v>
      </c>
      <c r="C6" s="9" t="str">
        <f>IFERROR(__xludf.DUMMYFUNCTION("""COMPUTED_VALUE"""),"West")</f>
        <v>West</v>
      </c>
      <c r="D6" s="9" t="str">
        <f t="shared" si="1"/>
        <v>Kim West</v>
      </c>
      <c r="E6" s="9" t="str">
        <f t="shared" si="2"/>
        <v>Kim West</v>
      </c>
      <c r="F6" s="9" t="str">
        <f>IFERROR(__xludf.DUMMYFUNCTION("join("" "",B6:C6)"),"Kim West")</f>
        <v>Kim West</v>
      </c>
      <c r="H6" s="35"/>
      <c r="I6" s="12" t="s">
        <v>84</v>
      </c>
      <c r="J6" s="39" t="str">
        <f>IFERROR(__xludf.DUMMYFUNCTION("SPLIT(I6,""/,-"")"),"Porter")</f>
        <v>Porter</v>
      </c>
      <c r="K6" s="24" t="str">
        <f>IFERROR(__xludf.DUMMYFUNCTION("""COMPUTED_VALUE"""),"Williamson")</f>
        <v>Williamson</v>
      </c>
      <c r="L6" s="24" t="str">
        <f>IFERROR(__xludf.DUMMYFUNCTION("""COMPUTED_VALUE"""),"Fletcher")</f>
        <v>Fletcher</v>
      </c>
      <c r="M6" s="35"/>
      <c r="N6" s="9" t="s">
        <v>85</v>
      </c>
      <c r="O6" s="39" t="str">
        <f>IFERROR(__xludf.DUMMYFUNCTION("join("", "",sort(transpose(split(N6,"", "",false))))"),"Fletcher, Porter, Williamson")</f>
        <v>Fletcher, Porter, Williamson</v>
      </c>
    </row>
    <row r="7">
      <c r="A7" s="9" t="s">
        <v>86</v>
      </c>
      <c r="B7" s="9" t="str">
        <f>IFERROR(__xludf.DUMMYFUNCTION("SPLIT(A7,"" "")"),"Lyric")</f>
        <v>Lyric</v>
      </c>
      <c r="C7" s="9" t="str">
        <f>IFERROR(__xludf.DUMMYFUNCTION("""COMPUTED_VALUE"""),"Wise")</f>
        <v>Wise</v>
      </c>
      <c r="D7" s="9" t="str">
        <f t="shared" si="1"/>
        <v>Lyric Wise</v>
      </c>
      <c r="E7" s="9" t="str">
        <f t="shared" si="2"/>
        <v>Lyric Wise</v>
      </c>
      <c r="F7" s="9" t="str">
        <f>IFERROR(__xludf.DUMMYFUNCTION("join("" "",B7:C7)"),"Lyric Wise")</f>
        <v>Lyric Wise</v>
      </c>
      <c r="H7" s="35"/>
      <c r="I7" s="12" t="s">
        <v>87</v>
      </c>
      <c r="J7" s="39" t="str">
        <f>IFERROR(__xludf.DUMMYFUNCTION("SPLIT(I7,""/,-"")"),"Good")</f>
        <v>Good</v>
      </c>
      <c r="K7" s="24" t="str">
        <f>IFERROR(__xludf.DUMMYFUNCTION("""COMPUTED_VALUE"""),"Wise")</f>
        <v>Wise</v>
      </c>
      <c r="L7" s="24" t="str">
        <f>IFERROR(__xludf.DUMMYFUNCTION("""COMPUTED_VALUE"""),"Mcguire")</f>
        <v>Mcguire</v>
      </c>
      <c r="M7" s="35"/>
      <c r="N7" s="9" t="s">
        <v>88</v>
      </c>
      <c r="O7" s="39" t="str">
        <f>IFERROR(__xludf.DUMMYFUNCTION("join("", "",sort(transpose(split(N7,"", "",false))))"),"Burke, Good, Mcguire, Willard, Wise")</f>
        <v>Burke, Good, Mcguire, Willard, Wise</v>
      </c>
    </row>
    <row r="8">
      <c r="A8" s="9" t="s">
        <v>89</v>
      </c>
      <c r="B8" s="9" t="str">
        <f>IFERROR(__xludf.DUMMYFUNCTION("SPLIT(A8,"" "")"),"Vanessa")</f>
        <v>Vanessa</v>
      </c>
      <c r="C8" s="9" t="str">
        <f>IFERROR(__xludf.DUMMYFUNCTION("""COMPUTED_VALUE"""),"Chavez")</f>
        <v>Chavez</v>
      </c>
      <c r="D8" s="9" t="str">
        <f t="shared" si="1"/>
        <v>Vanessa Chavez</v>
      </c>
      <c r="E8" s="9" t="str">
        <f t="shared" si="2"/>
        <v>Vanessa Chavez</v>
      </c>
      <c r="F8" s="9" t="str">
        <f>IFERROR(__xludf.DUMMYFUNCTION("join("" "",B8:C8)"),"Vanessa Chavez")</f>
        <v>Vanessa Chavez</v>
      </c>
      <c r="H8" s="35"/>
      <c r="M8" s="35"/>
      <c r="N8" s="9" t="s">
        <v>90</v>
      </c>
      <c r="O8" s="39" t="str">
        <f>IFERROR(__xludf.DUMMYFUNCTION("join("", "",sort(transpose(split(N8,"", "",false))))"),"Chavez, Fry, Merritt, Tot")</f>
        <v>Chavez, Fry, Merritt, Tot</v>
      </c>
    </row>
    <row r="9">
      <c r="A9" s="9" t="s">
        <v>91</v>
      </c>
      <c r="B9" s="9" t="str">
        <f>IFERROR(__xludf.DUMMYFUNCTION("SPLIT(A9,"" "")"),"Reid")</f>
        <v>Reid</v>
      </c>
      <c r="C9" s="9" t="str">
        <f>IFERROR(__xludf.DUMMYFUNCTION("""COMPUTED_VALUE"""),"Good")</f>
        <v>Good</v>
      </c>
      <c r="D9" s="9" t="str">
        <f t="shared" si="1"/>
        <v>Reid Good</v>
      </c>
      <c r="E9" s="9" t="str">
        <f t="shared" si="2"/>
        <v>Reid Good</v>
      </c>
      <c r="F9" s="9" t="str">
        <f>IFERROR(__xludf.DUMMYFUNCTION("join("" "",B9:C9)"),"Reid Good")</f>
        <v>Reid Good</v>
      </c>
      <c r="H9" s="35"/>
      <c r="M9" s="35"/>
      <c r="N9" s="9" t="s">
        <v>92</v>
      </c>
      <c r="O9" s="39" t="str">
        <f>IFERROR(__xludf.DUMMYFUNCTION("join("", "",sort(transpose(split(N9,"", "",false))))"),"Bridge, Sharp, Spear, Thompson, Wells")</f>
        <v>Bridge, Sharp, Spear, Thompson, Wells</v>
      </c>
    </row>
    <row r="10">
      <c r="A10" s="9" t="s">
        <v>93</v>
      </c>
      <c r="B10" s="9" t="str">
        <f>IFERROR(__xludf.DUMMYFUNCTION("SPLIT(A10,"" "")"),"Christopher")</f>
        <v>Christopher</v>
      </c>
      <c r="C10" s="9" t="str">
        <f>IFERROR(__xludf.DUMMYFUNCTION("""COMPUTED_VALUE"""),"Sharp")</f>
        <v>Sharp</v>
      </c>
      <c r="D10" s="9" t="str">
        <f t="shared" si="1"/>
        <v>Christopher Sharp</v>
      </c>
      <c r="E10" s="9" t="str">
        <f t="shared" si="2"/>
        <v>Christopher Sharp</v>
      </c>
      <c r="F10" s="9" t="str">
        <f>IFERROR(__xludf.DUMMYFUNCTION("join("" "",B10:C10)"),"Christopher Sharp")</f>
        <v>Christopher Sharp</v>
      </c>
      <c r="H10" s="35"/>
      <c r="M10" s="35"/>
      <c r="N10" s="9" t="s">
        <v>94</v>
      </c>
      <c r="O10" s="39" t="str">
        <f>IFERROR(__xludf.DUMMYFUNCTION("join("", "",sort(transpose(split(N10,"", "",false))))"),"Collier, Garza, Hurley, Mclean, Miller")</f>
        <v>Collier, Garza, Hurley, Mclean, Miller</v>
      </c>
    </row>
    <row r="11">
      <c r="A11" s="9" t="s">
        <v>95</v>
      </c>
      <c r="B11" s="9" t="str">
        <f>IFERROR(__xludf.DUMMYFUNCTION("SPLIT(A11,"" "")"),"Jessica")</f>
        <v>Jessica</v>
      </c>
      <c r="C11" s="9" t="str">
        <f>IFERROR(__xludf.DUMMYFUNCTION("""COMPUTED_VALUE"""),"Lowe")</f>
        <v>Lowe</v>
      </c>
      <c r="D11" s="9" t="str">
        <f t="shared" si="1"/>
        <v>Jessica Lowe</v>
      </c>
      <c r="E11" s="9" t="str">
        <f t="shared" si="2"/>
        <v>Jessica Lowe</v>
      </c>
      <c r="F11" s="9" t="str">
        <f>IFERROR(__xludf.DUMMYFUNCTION("join("" "",B11:C11)"),"Jessica Lowe")</f>
        <v>Jessica Lowe</v>
      </c>
      <c r="H11" s="35"/>
      <c r="M11" s="35"/>
      <c r="N11" s="9" t="s">
        <v>96</v>
      </c>
      <c r="O11" s="39" t="str">
        <f>IFERROR(__xludf.DUMMYFUNCTION("join("", "",sort(transpose(split(N11,"", "",false))))"),"Bond M, Parry, Ramsy, Richardson, West")</f>
        <v>Bond M, Parry, Ramsy, Richardson, West</v>
      </c>
    </row>
    <row r="12">
      <c r="A12" s="9" t="s">
        <v>97</v>
      </c>
      <c r="B12" s="9" t="str">
        <f>IFERROR(__xludf.DUMMYFUNCTION("SPLIT(A12,"" "")"),"Evie")</f>
        <v>Evie</v>
      </c>
      <c r="C12" s="9" t="str">
        <f>IFERROR(__xludf.DUMMYFUNCTION("""COMPUTED_VALUE"""),"Williamson")</f>
        <v>Williamson</v>
      </c>
      <c r="D12" s="9" t="str">
        <f t="shared" si="1"/>
        <v>Evie Williamson</v>
      </c>
      <c r="E12" s="9" t="str">
        <f t="shared" si="2"/>
        <v>Evie Williamson</v>
      </c>
      <c r="F12" s="9" t="str">
        <f>IFERROR(__xludf.DUMMYFUNCTION("join("" "",B12:C12)"),"Evie Williamson")</f>
        <v>Evie Williamson</v>
      </c>
      <c r="H12" s="35"/>
      <c r="M12" s="35"/>
    </row>
    <row r="13">
      <c r="A13" s="9" t="s">
        <v>38</v>
      </c>
      <c r="B13" s="9" t="str">
        <f>IFERROR(__xludf.DUMMYFUNCTION("SPLIT(A13,"" "")"),"Matilda")</f>
        <v>Matilda</v>
      </c>
      <c r="C13" s="9" t="str">
        <f>IFERROR(__xludf.DUMMYFUNCTION("""COMPUTED_VALUE"""),"Parry")</f>
        <v>Parry</v>
      </c>
      <c r="D13" s="9" t="str">
        <f t="shared" si="1"/>
        <v>Matilda Parry</v>
      </c>
      <c r="E13" s="9" t="str">
        <f t="shared" si="2"/>
        <v>Matilda Parry</v>
      </c>
      <c r="F13" s="9" t="str">
        <f>IFERROR(__xludf.DUMMYFUNCTION("join("" "",B13:C13)"),"Matilda Parry")</f>
        <v>Matilda Parry</v>
      </c>
      <c r="H13" s="35"/>
      <c r="M13" s="35"/>
    </row>
    <row r="14">
      <c r="A14" s="9" t="s">
        <v>98</v>
      </c>
      <c r="B14" s="9" t="str">
        <f>IFERROR(__xludf.DUMMYFUNCTION("SPLIT(A14,"" "")"),"Makai")</f>
        <v>Makai</v>
      </c>
      <c r="C14" s="9" t="str">
        <f>IFERROR(__xludf.DUMMYFUNCTION("""COMPUTED_VALUE"""),"Bond")</f>
        <v>Bond</v>
      </c>
      <c r="D14" s="9" t="str">
        <f t="shared" si="1"/>
        <v>Makai Bond</v>
      </c>
      <c r="E14" s="9" t="str">
        <f t="shared" si="2"/>
        <v>Makai Bond</v>
      </c>
      <c r="F14" s="9" t="str">
        <f>IFERROR(__xludf.DUMMYFUNCTION("join("" "",B14:C14)"),"Makai Bond")</f>
        <v>Makai Bond</v>
      </c>
      <c r="H14" s="35"/>
      <c r="M14" s="35"/>
    </row>
    <row r="15">
      <c r="A15" s="9" t="s">
        <v>99</v>
      </c>
      <c r="B15" s="9" t="str">
        <f>IFERROR(__xludf.DUMMYFUNCTION("SPLIT(A15,"" "")"),"Paul")</f>
        <v>Paul</v>
      </c>
      <c r="C15" s="9" t="str">
        <f>IFERROR(__xludf.DUMMYFUNCTION("""COMPUTED_VALUE"""),"Garza")</f>
        <v>Garza</v>
      </c>
      <c r="D15" s="9" t="str">
        <f t="shared" si="1"/>
        <v>Paul Garza</v>
      </c>
      <c r="E15" s="9" t="str">
        <f t="shared" si="2"/>
        <v>Paul Garza</v>
      </c>
      <c r="F15" s="9" t="str">
        <f>IFERROR(__xludf.DUMMYFUNCTION("join("" "",B15:C15)"),"Paul Garza")</f>
        <v>Paul Garza</v>
      </c>
      <c r="H15" s="35"/>
      <c r="M15" s="35"/>
    </row>
    <row r="16">
      <c r="A16" s="9" t="s">
        <v>100</v>
      </c>
      <c r="B16" s="9" t="str">
        <f>IFERROR(__xludf.DUMMYFUNCTION("SPLIT(A16,"" "")"),"Lamar")</f>
        <v>Lamar</v>
      </c>
      <c r="C16" s="9" t="str">
        <f>IFERROR(__xludf.DUMMYFUNCTION("""COMPUTED_VALUE"""),"Fry")</f>
        <v>Fry</v>
      </c>
      <c r="D16" s="9" t="str">
        <f t="shared" si="1"/>
        <v>Lamar Fry</v>
      </c>
      <c r="E16" s="9" t="str">
        <f t="shared" si="2"/>
        <v>Lamar Fry</v>
      </c>
      <c r="F16" s="9" t="str">
        <f>IFERROR(__xludf.DUMMYFUNCTION("join("" "",B16:C16)"),"Lamar Fry")</f>
        <v>Lamar Fry</v>
      </c>
      <c r="H16" s="35"/>
      <c r="M16" s="35"/>
    </row>
    <row r="17">
      <c r="A17" s="9" t="s">
        <v>101</v>
      </c>
      <c r="B17" s="9" t="str">
        <f>IFERROR(__xludf.DUMMYFUNCTION("SPLIT(A17,"" "")"),"Natalie")</f>
        <v>Natalie</v>
      </c>
      <c r="C17" s="9" t="str">
        <f>IFERROR(__xludf.DUMMYFUNCTION("""COMPUTED_VALUE"""),"Porter")</f>
        <v>Porter</v>
      </c>
      <c r="D17" s="9" t="str">
        <f t="shared" si="1"/>
        <v>Natalie Porter</v>
      </c>
      <c r="E17" s="9" t="str">
        <f t="shared" si="2"/>
        <v>Natalie Porter</v>
      </c>
      <c r="F17" s="9" t="str">
        <f>IFERROR(__xludf.DUMMYFUNCTION("join("" "",B17:C17)"),"Natalie Porter")</f>
        <v>Natalie Porter</v>
      </c>
      <c r="H17" s="35"/>
      <c r="M17" s="35"/>
    </row>
    <row r="18">
      <c r="A18" s="9" t="s">
        <v>102</v>
      </c>
      <c r="B18" s="9" t="str">
        <f>IFERROR(__xludf.DUMMYFUNCTION("SPLIT(A18,"" "")"),"Jim")</f>
        <v>Jim</v>
      </c>
      <c r="C18" s="9" t="str">
        <f>IFERROR(__xludf.DUMMYFUNCTION("""COMPUTED_VALUE"""),"Mcguire")</f>
        <v>Mcguire</v>
      </c>
      <c r="D18" s="9" t="str">
        <f t="shared" si="1"/>
        <v>Jim Mcguire</v>
      </c>
      <c r="E18" s="9" t="str">
        <f t="shared" si="2"/>
        <v>Jim Mcguire</v>
      </c>
      <c r="F18" s="9" t="str">
        <f>IFERROR(__xludf.DUMMYFUNCTION("join("" "",B18:C18)"),"Jim Mcguire")</f>
        <v>Jim Mcguire</v>
      </c>
      <c r="H18" s="35"/>
      <c r="M18" s="35"/>
    </row>
    <row r="19">
      <c r="A19" s="9" t="s">
        <v>23</v>
      </c>
      <c r="B19" s="9" t="str">
        <f>IFERROR(__xludf.DUMMYFUNCTION("SPLIT(A19,"" "")"),"Tommy")</f>
        <v>Tommy</v>
      </c>
      <c r="C19" s="9" t="str">
        <f>IFERROR(__xludf.DUMMYFUNCTION("""COMPUTED_VALUE"""),"Dixon")</f>
        <v>Dixon</v>
      </c>
      <c r="D19" s="9" t="str">
        <f t="shared" si="1"/>
        <v>Tommy Dixon</v>
      </c>
      <c r="E19" s="9" t="str">
        <f t="shared" si="2"/>
        <v>Tommy Dixon</v>
      </c>
      <c r="F19" s="9" t="str">
        <f>IFERROR(__xludf.DUMMYFUNCTION("join("" "",B19:C19)"),"Tommy Dixon")</f>
        <v>Tommy Dixon</v>
      </c>
      <c r="H19" s="35"/>
      <c r="M19" s="35"/>
    </row>
    <row r="20">
      <c r="A20" s="9" t="s">
        <v>103</v>
      </c>
      <c r="B20" s="9" t="str">
        <f>IFERROR(__xludf.DUMMYFUNCTION("SPLIT(A20,"" "")"),"Robert")</f>
        <v>Robert</v>
      </c>
      <c r="C20" s="9" t="str">
        <f>IFERROR(__xludf.DUMMYFUNCTION("""COMPUTED_VALUE"""),"Hurley")</f>
        <v>Hurley</v>
      </c>
      <c r="D20" s="9" t="str">
        <f t="shared" si="1"/>
        <v>Robert Hurley</v>
      </c>
      <c r="E20" s="9" t="str">
        <f t="shared" si="2"/>
        <v>Robert Hurley</v>
      </c>
      <c r="F20" s="9" t="str">
        <f>IFERROR(__xludf.DUMMYFUNCTION("join("" "",B20:C20)"),"Robert Hurley")</f>
        <v>Robert Hurley</v>
      </c>
      <c r="H20" s="35"/>
      <c r="M20" s="35"/>
    </row>
    <row r="21">
      <c r="A21" s="9" t="s">
        <v>36</v>
      </c>
      <c r="B21" s="9" t="str">
        <f>IFERROR(__xludf.DUMMYFUNCTION("SPLIT(A21,"" "")"),"Harry")</f>
        <v>Harry</v>
      </c>
      <c r="C21" s="9" t="str">
        <f>IFERROR(__xludf.DUMMYFUNCTION("""COMPUTED_VALUE"""),"Burke")</f>
        <v>Burke</v>
      </c>
      <c r="D21" s="9" t="str">
        <f t="shared" si="1"/>
        <v>Harry Burke</v>
      </c>
      <c r="E21" s="9" t="str">
        <f t="shared" si="2"/>
        <v>Harry Burke</v>
      </c>
      <c r="F21" s="9" t="str">
        <f>IFERROR(__xludf.DUMMYFUNCTION("join("" "",B21:C21)"),"Harry Burke")</f>
        <v>Harry Burke</v>
      </c>
      <c r="H21" s="35"/>
      <c r="M21" s="35"/>
    </row>
    <row r="22">
      <c r="A22" s="9" t="s">
        <v>104</v>
      </c>
      <c r="B22" s="9" t="str">
        <f>IFERROR(__xludf.DUMMYFUNCTION("SPLIT(A22,"" "")"),"Robert")</f>
        <v>Robert</v>
      </c>
      <c r="C22" s="9" t="str">
        <f>IFERROR(__xludf.DUMMYFUNCTION("""COMPUTED_VALUE"""),"Spear")</f>
        <v>Spear</v>
      </c>
      <c r="D22" s="9" t="str">
        <f t="shared" si="1"/>
        <v>Robert Spear</v>
      </c>
      <c r="E22" s="9" t="str">
        <f t="shared" si="2"/>
        <v>Robert Spear</v>
      </c>
      <c r="F22" s="9" t="str">
        <f>IFERROR(__xludf.DUMMYFUNCTION("join("" "",B22:C22)"),"Robert Spear")</f>
        <v>Robert Spear</v>
      </c>
      <c r="H22" s="35"/>
      <c r="M22" s="35"/>
    </row>
    <row r="23">
      <c r="A23" s="9" t="s">
        <v>105</v>
      </c>
      <c r="B23" s="9" t="str">
        <f>IFERROR(__xludf.DUMMYFUNCTION("SPLIT(A23,"" "")"),"Aydin")</f>
        <v>Aydin</v>
      </c>
      <c r="C23" s="9" t="str">
        <f>IFERROR(__xludf.DUMMYFUNCTION("""COMPUTED_VALUE"""),"Merritt")</f>
        <v>Merritt</v>
      </c>
      <c r="D23" s="9" t="str">
        <f t="shared" si="1"/>
        <v>Aydin Merritt</v>
      </c>
      <c r="E23" s="9" t="str">
        <f t="shared" si="2"/>
        <v>Aydin Merritt</v>
      </c>
      <c r="F23" s="9" t="str">
        <f>IFERROR(__xludf.DUMMYFUNCTION("join("" "",B23:C23)"),"Aydin Merritt")</f>
        <v>Aydin Merritt</v>
      </c>
      <c r="H23" s="35"/>
      <c r="M23" s="35"/>
    </row>
    <row r="24">
      <c r="A24" s="9" t="s">
        <v>106</v>
      </c>
      <c r="B24" s="9" t="str">
        <f>IFERROR(__xludf.DUMMYFUNCTION("SPLIT(A24,"" "")"),"James")</f>
        <v>James</v>
      </c>
      <c r="C24" s="9" t="str">
        <f>IFERROR(__xludf.DUMMYFUNCTION("""COMPUTED_VALUE"""),"Willard")</f>
        <v>Willard</v>
      </c>
      <c r="D24" s="9" t="str">
        <f t="shared" si="1"/>
        <v>James Willard</v>
      </c>
      <c r="E24" s="9" t="str">
        <f t="shared" si="2"/>
        <v>James Willard</v>
      </c>
      <c r="F24" s="9" t="str">
        <f>IFERROR(__xludf.DUMMYFUNCTION("join("" "",B24:C24)"),"James Willard")</f>
        <v>James Willard</v>
      </c>
      <c r="H24" s="35"/>
      <c r="M24" s="35"/>
    </row>
    <row r="25">
      <c r="A25" s="9" t="s">
        <v>107</v>
      </c>
      <c r="B25" s="9" t="str">
        <f>IFERROR(__xludf.DUMMYFUNCTION("SPLIT(A25,"" "")"),"Zac")</f>
        <v>Zac</v>
      </c>
      <c r="C25" s="9" t="str">
        <f>IFERROR(__xludf.DUMMYFUNCTION("""COMPUTED_VALUE"""),"Fletcher")</f>
        <v>Fletcher</v>
      </c>
      <c r="D25" s="9" t="str">
        <f t="shared" si="1"/>
        <v>Zac Fletcher</v>
      </c>
      <c r="E25" s="9" t="str">
        <f t="shared" si="2"/>
        <v>Zac Fletcher</v>
      </c>
      <c r="F25" s="9" t="str">
        <f>IFERROR(__xludf.DUMMYFUNCTION("join("" "",B25:C25)"),"Zac Fletcher")</f>
        <v>Zac Fletcher</v>
      </c>
      <c r="H25" s="35"/>
      <c r="M25" s="35"/>
    </row>
    <row r="26">
      <c r="A26" s="9" t="s">
        <v>108</v>
      </c>
      <c r="B26" s="9" t="str">
        <f>IFERROR(__xludf.DUMMYFUNCTION("SPLIT(A26,"" "")"),"Kristina")</f>
        <v>Kristina</v>
      </c>
      <c r="C26" s="9" t="str">
        <f>IFERROR(__xludf.DUMMYFUNCTION("""COMPUTED_VALUE"""),"Mclean")</f>
        <v>Mclean</v>
      </c>
      <c r="D26" s="9" t="str">
        <f t="shared" si="1"/>
        <v>Kristina Mclean</v>
      </c>
      <c r="E26" s="9" t="str">
        <f t="shared" si="2"/>
        <v>Kristina Mclean</v>
      </c>
      <c r="F26" s="9" t="str">
        <f>IFERROR(__xludf.DUMMYFUNCTION("join("" "",B26:C26)"),"Kristina Mclean")</f>
        <v>Kristina Mclean</v>
      </c>
      <c r="H26" s="35"/>
      <c r="M26" s="35"/>
    </row>
    <row r="27">
      <c r="A27" s="9" t="s">
        <v>109</v>
      </c>
      <c r="B27" s="9" t="str">
        <f>IFERROR(__xludf.DUMMYFUNCTION("SPLIT(A27,"" "")"),"Maria")</f>
        <v>Maria</v>
      </c>
      <c r="C27" s="9" t="str">
        <f>IFERROR(__xludf.DUMMYFUNCTION("""COMPUTED_VALUE"""),"Tot")</f>
        <v>Tot</v>
      </c>
      <c r="D27" s="9" t="str">
        <f t="shared" si="1"/>
        <v>Maria Tot</v>
      </c>
      <c r="E27" s="9" t="str">
        <f t="shared" si="2"/>
        <v>Maria Tot</v>
      </c>
      <c r="F27" s="9" t="str">
        <f>IFERROR(__xludf.DUMMYFUNCTION("join("" "",B27:C27)"),"Maria Tot")</f>
        <v>Maria Tot</v>
      </c>
      <c r="H27" s="35"/>
      <c r="M27" s="35"/>
    </row>
    <row r="28">
      <c r="A28" s="9" t="s">
        <v>110</v>
      </c>
      <c r="B28" s="9" t="str">
        <f>IFERROR(__xludf.DUMMYFUNCTION("SPLIT(A28,"" "")"),"Wolfgang")</f>
        <v>Wolfgang</v>
      </c>
      <c r="C28" s="9" t="str">
        <f>IFERROR(__xludf.DUMMYFUNCTION("""COMPUTED_VALUE"""),"Ramjac")</f>
        <v>Ramjac</v>
      </c>
      <c r="D28" s="9" t="str">
        <f t="shared" si="1"/>
        <v>Wolfgang Ramjac</v>
      </c>
      <c r="E28" s="9" t="str">
        <f t="shared" si="2"/>
        <v>Wolfgang Ramjac</v>
      </c>
      <c r="F28" s="9" t="str">
        <f>IFERROR(__xludf.DUMMYFUNCTION("join("" "",B28:C28)"),"Wolfgang Ramjac")</f>
        <v>Wolfgang Ramjac</v>
      </c>
      <c r="H28" s="35"/>
      <c r="M28" s="35"/>
    </row>
    <row r="29">
      <c r="A29" s="9" t="s">
        <v>111</v>
      </c>
      <c r="B29" s="9" t="str">
        <f>IFERROR(__xludf.DUMMYFUNCTION("SPLIT(A29,"" "")"),"Peter")</f>
        <v>Peter</v>
      </c>
      <c r="C29" s="9" t="str">
        <f>IFERROR(__xludf.DUMMYFUNCTION("""COMPUTED_VALUE"""),"Ramsy")</f>
        <v>Ramsy</v>
      </c>
      <c r="D29" s="9" t="str">
        <f t="shared" si="1"/>
        <v>Peter Ramsy</v>
      </c>
      <c r="E29" s="9" t="str">
        <f t="shared" si="2"/>
        <v>Peter Ramsy</v>
      </c>
      <c r="F29" s="9" t="str">
        <f>IFERROR(__xludf.DUMMYFUNCTION("join("" "",B29:C29)"),"Peter Ramsy")</f>
        <v>Peter Ramsy</v>
      </c>
    </row>
    <row r="30">
      <c r="A30" s="9" t="s">
        <v>112</v>
      </c>
      <c r="B30" s="9" t="str">
        <f>IFERROR(__xludf.DUMMYFUNCTION("SPLIT(A30,"" "")"),"Matilda")</f>
        <v>Matilda</v>
      </c>
      <c r="C30" s="9" t="str">
        <f>IFERROR(__xludf.DUMMYFUNCTION("""COMPUTED_VALUE"""),"Collier")</f>
        <v>Collier</v>
      </c>
      <c r="D30" s="9" t="str">
        <f t="shared" si="1"/>
        <v>Matilda Collier</v>
      </c>
      <c r="E30" s="9" t="str">
        <f t="shared" si="2"/>
        <v>Matilda Collier</v>
      </c>
      <c r="F30" s="9" t="str">
        <f>IFERROR(__xludf.DUMMYFUNCTION("join("" "",B30:C30)"),"Matilda Collier")</f>
        <v>Matilda Collier</v>
      </c>
    </row>
    <row r="31">
      <c r="A31" s="9" t="s">
        <v>113</v>
      </c>
      <c r="B31" s="9" t="str">
        <f>IFERROR(__xludf.DUMMYFUNCTION("SPLIT(A31,"" "")"),"Paul")</f>
        <v>Paul</v>
      </c>
      <c r="C31" s="9" t="str">
        <f>IFERROR(__xludf.DUMMYFUNCTION("""COMPUTED_VALUE"""),"Wells")</f>
        <v>Wells</v>
      </c>
      <c r="D31" s="9" t="str">
        <f t="shared" si="1"/>
        <v>Paul Wells</v>
      </c>
      <c r="E31" s="9" t="str">
        <f t="shared" si="2"/>
        <v>Paul Wells</v>
      </c>
      <c r="F31" s="9" t="str">
        <f>IFERROR(__xludf.DUMMYFUNCTION("join("" "",B31:C31)"),"Paul Wells")</f>
        <v>Paul Wells</v>
      </c>
    </row>
    <row r="32">
      <c r="A32" s="9" t="s">
        <v>114</v>
      </c>
      <c r="B32" s="9" t="str">
        <f>IFERROR(__xludf.DUMMYFUNCTION("SPLIT(A32,"" "")"),"Ewan")</f>
        <v>Ewan</v>
      </c>
      <c r="C32" s="9" t="str">
        <f>IFERROR(__xludf.DUMMYFUNCTION("""COMPUTED_VALUE"""),"Thompson")</f>
        <v>Thompson</v>
      </c>
      <c r="D32" s="9" t="str">
        <f t="shared" si="1"/>
        <v>Ewan Thompson</v>
      </c>
      <c r="E32" s="9" t="str">
        <f t="shared" si="2"/>
        <v>Ewan Thompson</v>
      </c>
      <c r="F32" s="9" t="str">
        <f>IFERROR(__xludf.DUMMYFUNCTION("join("" "",B32:C32)"),"Ewan Thompson")</f>
        <v>Ewan Thompson</v>
      </c>
    </row>
    <row r="33">
      <c r="A33" s="9" t="s">
        <v>115</v>
      </c>
      <c r="B33" s="9" t="str">
        <f>IFERROR(__xludf.DUMMYFUNCTION("SPLIT(A33,"" "")"),"Robert")</f>
        <v>Robert</v>
      </c>
      <c r="C33" s="9" t="str">
        <f>IFERROR(__xludf.DUMMYFUNCTION("""COMPUTED_VALUE"""),"Blume")</f>
        <v>Blume</v>
      </c>
      <c r="D33" s="9" t="str">
        <f t="shared" si="1"/>
        <v>Robert Blume</v>
      </c>
      <c r="E33" s="9" t="str">
        <f t="shared" si="2"/>
        <v>Robert Blume</v>
      </c>
      <c r="F33" s="9" t="str">
        <f>IFERROR(__xludf.DUMMYFUNCTION("join("" "",B33:C33)"),"Robert Blume")</f>
        <v>Robert Blume</v>
      </c>
    </row>
    <row r="34">
      <c r="A34" s="9" t="s">
        <v>116</v>
      </c>
      <c r="B34" s="9" t="str">
        <f>IFERROR(__xludf.DUMMYFUNCTION("SPLIT(A34,"" "")"),"Brigitte")</f>
        <v>Brigitte</v>
      </c>
      <c r="C34" s="9" t="str">
        <f>IFERROR(__xludf.DUMMYFUNCTION("""COMPUTED_VALUE"""),"Bond")</f>
        <v>Bond</v>
      </c>
      <c r="D34" s="9" t="str">
        <f t="shared" si="1"/>
        <v>Brigitte Bond</v>
      </c>
      <c r="E34" s="9" t="str">
        <f t="shared" si="2"/>
        <v>Brigitte Bond</v>
      </c>
      <c r="F34" s="9" t="str">
        <f>IFERROR(__xludf.DUMMYFUNCTION("join("" "",B34:C34)"),"Brigitte Bond")</f>
        <v>Brigitte Bond</v>
      </c>
    </row>
    <row r="35">
      <c r="A35" s="9" t="s">
        <v>117</v>
      </c>
      <c r="B35" s="9" t="str">
        <f>IFERROR(__xludf.DUMMYFUNCTION("SPLIT(A35,"" "")"),"Stevie")</f>
        <v>Stevie</v>
      </c>
      <c r="C35" s="9" t="str">
        <f>IFERROR(__xludf.DUMMYFUNCTION("""COMPUTED_VALUE"""),"Bridge")</f>
        <v>Bridge</v>
      </c>
      <c r="D35" s="9" t="str">
        <f t="shared" si="1"/>
        <v>Stevie Bridge</v>
      </c>
      <c r="E35" s="9" t="str">
        <f t="shared" si="2"/>
        <v>Stevie Bridge</v>
      </c>
      <c r="F35" s="9" t="str">
        <f>IFERROR(__xludf.DUMMYFUNCTION("join("" "",B35:C35)"),"Stevie Bridge")</f>
        <v>Stevie Bridge</v>
      </c>
    </row>
    <row r="36">
      <c r="A36" s="9" t="s">
        <v>118</v>
      </c>
      <c r="B36" s="9" t="str">
        <f>IFERROR(__xludf.DUMMYFUNCTION("SPLIT(A36,"" "")"),"Robert")</f>
        <v>Robert</v>
      </c>
      <c r="C36" s="9" t="str">
        <f>IFERROR(__xludf.DUMMYFUNCTION("""COMPUTED_VALUE"""),"Richardson")</f>
        <v>Richardson</v>
      </c>
      <c r="D36" s="9" t="str">
        <f t="shared" si="1"/>
        <v>Robert Richardson</v>
      </c>
      <c r="E36" s="9" t="str">
        <f t="shared" si="2"/>
        <v>Robert Richardson</v>
      </c>
      <c r="F36" s="9" t="str">
        <f>IFERROR(__xludf.DUMMYFUNCTION("join("" "",B36:C36)"),"Robert Richardson")</f>
        <v>Robert Richardson</v>
      </c>
    </row>
  </sheetData>
  <mergeCells count="2">
    <mergeCell ref="B3:C3"/>
    <mergeCell ref="D3: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3.88"/>
    <col customWidth="1" min="2" max="2" width="16.88"/>
    <col customWidth="1" min="3" max="3" width="10.88"/>
    <col customWidth="1" min="6" max="6" width="11.5"/>
    <col customWidth="1" min="12" max="12" width="23.75"/>
  </cols>
  <sheetData>
    <row r="1">
      <c r="A1" s="40" t="s">
        <v>10</v>
      </c>
      <c r="B1" s="41"/>
      <c r="C1" s="41"/>
      <c r="D1" s="41"/>
      <c r="E1" s="41"/>
      <c r="F1" s="41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3" t="s">
        <v>119</v>
      </c>
      <c r="B3" s="43" t="s">
        <v>120</v>
      </c>
      <c r="C3" s="42"/>
      <c r="D3" s="42"/>
      <c r="E3" s="42"/>
      <c r="F3" s="42"/>
      <c r="G3" s="42"/>
      <c r="H3" s="42"/>
      <c r="I3" s="42"/>
      <c r="J3" s="44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5">
        <f>today()</f>
        <v>46189</v>
      </c>
      <c r="B4" s="46">
        <f>now()</f>
        <v>46189.90341</v>
      </c>
      <c r="C4" s="42"/>
      <c r="D4" s="47"/>
      <c r="E4" s="42"/>
      <c r="F4" s="42"/>
      <c r="G4" s="42"/>
      <c r="H4" s="42"/>
      <c r="I4" s="42"/>
      <c r="J4" s="44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8"/>
      <c r="B5" s="48"/>
      <c r="C5" s="42"/>
      <c r="D5" s="42"/>
      <c r="E5" s="42"/>
      <c r="F5" s="49">
        <v>44066.0</v>
      </c>
      <c r="G5" s="42"/>
      <c r="H5" s="42"/>
      <c r="I5" s="42"/>
      <c r="J5" s="44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50" t="s">
        <v>121</v>
      </c>
      <c r="B6" s="43" t="s">
        <v>122</v>
      </c>
      <c r="C6" s="43" t="s">
        <v>123</v>
      </c>
      <c r="D6" s="43" t="s">
        <v>124</v>
      </c>
      <c r="E6" s="43" t="s">
        <v>121</v>
      </c>
      <c r="F6" s="51" t="s">
        <v>125</v>
      </c>
      <c r="G6" s="43" t="s">
        <v>126</v>
      </c>
      <c r="H6" s="43" t="s">
        <v>127</v>
      </c>
      <c r="I6" s="51" t="s">
        <v>128</v>
      </c>
      <c r="J6" s="51" t="s">
        <v>129</v>
      </c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9">
        <v>44067.0</v>
      </c>
      <c r="B7" s="52">
        <f t="shared" ref="B7:B10" si="1">year(A7)</f>
        <v>2020</v>
      </c>
      <c r="C7" s="52">
        <f t="shared" ref="C7:C10" si="2">month(A7)</f>
        <v>8</v>
      </c>
      <c r="D7" s="52">
        <f t="shared" ref="D7:D10" si="3">day(A7)</f>
        <v>24</v>
      </c>
      <c r="E7" s="53">
        <f t="shared" ref="E7:E10" si="4">date(B7,C7,D7)</f>
        <v>44067</v>
      </c>
      <c r="F7" s="52">
        <f t="shared" ref="F7:F10" si="5">A7-$F$5</f>
        <v>1</v>
      </c>
      <c r="G7" s="54">
        <f t="shared" ref="G7:G10" si="6">WEEKDAY(A7)</f>
        <v>2</v>
      </c>
      <c r="H7" s="52">
        <f t="shared" ref="H7:H10" si="7">WEEKNUM(A7)</f>
        <v>35</v>
      </c>
      <c r="I7" s="53">
        <f t="shared" ref="I7:I10" si="8">EOMONTH(A7,0)</f>
        <v>44074</v>
      </c>
      <c r="J7" s="53">
        <f t="shared" ref="J7:J10" si="9">date(year(A7),month(A7),1)</f>
        <v>44044</v>
      </c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9">
        <v>44441.0</v>
      </c>
      <c r="B8" s="52">
        <f t="shared" si="1"/>
        <v>2021</v>
      </c>
      <c r="C8" s="52">
        <f t="shared" si="2"/>
        <v>9</v>
      </c>
      <c r="D8" s="52">
        <f t="shared" si="3"/>
        <v>2</v>
      </c>
      <c r="E8" s="53">
        <f t="shared" si="4"/>
        <v>44441</v>
      </c>
      <c r="F8" s="52">
        <f t="shared" si="5"/>
        <v>375</v>
      </c>
      <c r="G8" s="54">
        <f t="shared" si="6"/>
        <v>5</v>
      </c>
      <c r="H8" s="52">
        <f t="shared" si="7"/>
        <v>36</v>
      </c>
      <c r="I8" s="53">
        <f t="shared" si="8"/>
        <v>44469</v>
      </c>
      <c r="J8" s="53">
        <f t="shared" si="9"/>
        <v>44440</v>
      </c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9">
        <v>44146.0</v>
      </c>
      <c r="B9" s="52">
        <f t="shared" si="1"/>
        <v>2020</v>
      </c>
      <c r="C9" s="52">
        <f t="shared" si="2"/>
        <v>11</v>
      </c>
      <c r="D9" s="52">
        <f t="shared" si="3"/>
        <v>11</v>
      </c>
      <c r="E9" s="53">
        <f t="shared" si="4"/>
        <v>44146</v>
      </c>
      <c r="F9" s="52">
        <f t="shared" si="5"/>
        <v>80</v>
      </c>
      <c r="G9" s="54">
        <f t="shared" si="6"/>
        <v>4</v>
      </c>
      <c r="H9" s="52">
        <f t="shared" si="7"/>
        <v>46</v>
      </c>
      <c r="I9" s="53">
        <f t="shared" si="8"/>
        <v>44165</v>
      </c>
      <c r="J9" s="53">
        <f t="shared" si="9"/>
        <v>44136</v>
      </c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9">
        <v>44903.0</v>
      </c>
      <c r="B10" s="52">
        <f t="shared" si="1"/>
        <v>2022</v>
      </c>
      <c r="C10" s="52">
        <f t="shared" si="2"/>
        <v>12</v>
      </c>
      <c r="D10" s="52">
        <f t="shared" si="3"/>
        <v>8</v>
      </c>
      <c r="E10" s="53">
        <f t="shared" si="4"/>
        <v>44903</v>
      </c>
      <c r="F10" s="52">
        <f t="shared" si="5"/>
        <v>837</v>
      </c>
      <c r="G10" s="54">
        <f t="shared" si="6"/>
        <v>5</v>
      </c>
      <c r="H10" s="52">
        <f t="shared" si="7"/>
        <v>50</v>
      </c>
      <c r="I10" s="53">
        <f t="shared" si="8"/>
        <v>44926</v>
      </c>
      <c r="J10" s="53">
        <f t="shared" si="9"/>
        <v>44896</v>
      </c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55"/>
      <c r="B11" s="56"/>
      <c r="C11" s="56"/>
      <c r="D11" s="56"/>
      <c r="E11" s="55"/>
      <c r="F11" s="56"/>
      <c r="G11" s="42"/>
      <c r="H11" s="42"/>
      <c r="I11" s="42"/>
      <c r="J11" s="44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8"/>
      <c r="B12" s="57"/>
      <c r="C12" s="48"/>
      <c r="D12" s="48"/>
      <c r="E12" s="48"/>
      <c r="F12" s="48"/>
      <c r="G12" s="42"/>
      <c r="H12" s="42"/>
      <c r="I12" s="42"/>
      <c r="J12" s="44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outlineLevel="1">
      <c r="A13" s="58" t="s">
        <v>130</v>
      </c>
      <c r="B13" s="59"/>
      <c r="C13" s="59"/>
      <c r="D13" s="48"/>
      <c r="E13" s="48"/>
      <c r="F13" s="48"/>
      <c r="G13" s="42"/>
      <c r="H13" s="42"/>
      <c r="I13" s="42"/>
      <c r="J13" s="44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outlineLevel="1">
      <c r="A14" s="50" t="s">
        <v>121</v>
      </c>
      <c r="B14" s="51" t="s">
        <v>131</v>
      </c>
      <c r="C14" s="51" t="s">
        <v>132</v>
      </c>
      <c r="D14" s="43"/>
      <c r="E14" s="48"/>
      <c r="F14" s="48"/>
      <c r="G14" s="42"/>
      <c r="H14" s="42"/>
      <c r="I14" s="42"/>
      <c r="J14" s="44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outlineLevel="1">
      <c r="A15" s="49">
        <v>44067.0</v>
      </c>
      <c r="B15" s="52">
        <f t="shared" ref="B15:B18" si="10">EOMONTH(A15,0)-A15</f>
        <v>7</v>
      </c>
      <c r="C15" s="52">
        <f t="shared" ref="C15:C18" si="11">EOMONTH(A15,1)-A15</f>
        <v>37</v>
      </c>
      <c r="D15" s="55"/>
      <c r="E15" s="48"/>
      <c r="F15" s="48"/>
      <c r="G15" s="42"/>
      <c r="H15" s="42"/>
      <c r="I15" s="42"/>
      <c r="J15" s="44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outlineLevel="1">
      <c r="A16" s="49">
        <v>44076.0</v>
      </c>
      <c r="B16" s="52">
        <f t="shared" si="10"/>
        <v>28</v>
      </c>
      <c r="C16" s="52">
        <f t="shared" si="11"/>
        <v>59</v>
      </c>
      <c r="D16" s="55"/>
      <c r="E16" s="48"/>
      <c r="F16" s="48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outlineLevel="1">
      <c r="A17" s="49">
        <v>44146.0</v>
      </c>
      <c r="B17" s="52">
        <f t="shared" si="10"/>
        <v>19</v>
      </c>
      <c r="C17" s="52">
        <f t="shared" si="11"/>
        <v>50</v>
      </c>
      <c r="D17" s="55"/>
      <c r="E17" s="48"/>
      <c r="F17" s="48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outlineLevel="1">
      <c r="A18" s="49">
        <v>44173.0</v>
      </c>
      <c r="B18" s="52">
        <f t="shared" si="10"/>
        <v>23</v>
      </c>
      <c r="C18" s="52">
        <f t="shared" si="11"/>
        <v>54</v>
      </c>
      <c r="D18" s="55"/>
      <c r="E18" s="48"/>
      <c r="F18" s="48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60"/>
      <c r="B19" s="55"/>
      <c r="C19" s="55"/>
      <c r="D19" s="55"/>
      <c r="E19" s="48"/>
      <c r="F19" s="48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6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5.75"/>
    <col customWidth="1" min="2" max="2" width="15.38"/>
    <col customWidth="1" min="3" max="3" width="14.63"/>
    <col customWidth="1" min="8" max="8" width="15.25"/>
    <col customWidth="1" min="9" max="9" width="15.5"/>
    <col customWidth="1" min="10" max="10" width="4.63"/>
    <col customWidth="1" min="11" max="11" width="14.75"/>
    <col customWidth="1" min="12" max="12" width="23.75"/>
  </cols>
  <sheetData>
    <row r="1">
      <c r="A1" s="18" t="s">
        <v>11</v>
      </c>
      <c r="B1" s="62"/>
      <c r="C1" s="62"/>
      <c r="D1" s="62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43" t="s">
        <v>133</v>
      </c>
      <c r="B4" s="43" t="s">
        <v>134</v>
      </c>
      <c r="C4" s="43" t="s">
        <v>135</v>
      </c>
      <c r="D4" s="64"/>
      <c r="E4" s="64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>
      <c r="A5" s="65">
        <v>0.375</v>
      </c>
      <c r="B5" s="66">
        <v>0.375</v>
      </c>
      <c r="C5" s="67">
        <f>9/24</f>
        <v>0.375</v>
      </c>
      <c r="D5" s="64"/>
      <c r="E5" s="68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>
      <c r="A6" s="65">
        <v>0.5</v>
      </c>
      <c r="B6" s="66">
        <v>0.5</v>
      </c>
      <c r="C6" s="67">
        <f>12/24</f>
        <v>0.5</v>
      </c>
      <c r="D6" s="64"/>
      <c r="E6" s="68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>
      <c r="A7" s="65">
        <v>0.75</v>
      </c>
      <c r="B7" s="66">
        <v>0.75</v>
      </c>
      <c r="C7" s="67">
        <f>(12+6)/24</f>
        <v>0.75</v>
      </c>
      <c r="D7" s="64"/>
      <c r="E7" s="68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>
      <c r="A8" s="69">
        <v>0.5208333333333334</v>
      </c>
      <c r="B8" s="70">
        <v>0.5208333333333334</v>
      </c>
      <c r="C8" s="71">
        <f>12.5/24</f>
        <v>0.5208333333</v>
      </c>
      <c r="D8" s="64"/>
      <c r="E8" s="64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>
      <c r="A9" s="64"/>
      <c r="B9" s="64"/>
      <c r="C9" s="64"/>
      <c r="D9" s="64"/>
      <c r="E9" s="64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>
      <c r="A10" s="64"/>
      <c r="B10" s="64"/>
      <c r="C10" s="64"/>
      <c r="D10" s="64"/>
      <c r="E10" s="64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>
      <c r="A11" s="64"/>
      <c r="B11" s="64"/>
      <c r="C11" s="64"/>
      <c r="D11" s="64"/>
      <c r="E11" s="64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outlineLevel="1">
      <c r="A12" s="72" t="s">
        <v>124</v>
      </c>
      <c r="B12" s="72" t="s">
        <v>136</v>
      </c>
      <c r="C12" s="72" t="s">
        <v>137</v>
      </c>
      <c r="D12" s="72" t="s">
        <v>138</v>
      </c>
      <c r="E12" s="72" t="s">
        <v>139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outlineLevel="1">
      <c r="A13" s="65" t="s">
        <v>140</v>
      </c>
      <c r="B13" s="65">
        <v>0.3333333333333333</v>
      </c>
      <c r="C13" s="65">
        <v>0.7291666666666666</v>
      </c>
      <c r="D13" s="73">
        <f t="shared" ref="D13:D17" si="1">C13-B13</f>
        <v>0.3958333333</v>
      </c>
      <c r="E13" s="74">
        <f t="shared" ref="E13:E17" si="2">(C13-B13)*24</f>
        <v>9.5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outlineLevel="1">
      <c r="A14" s="65" t="s">
        <v>141</v>
      </c>
      <c r="B14" s="65">
        <v>0.3888888888888889</v>
      </c>
      <c r="C14" s="65">
        <v>0.7604166666666666</v>
      </c>
      <c r="D14" s="73">
        <f t="shared" si="1"/>
        <v>0.3715277778</v>
      </c>
      <c r="E14" s="74">
        <f t="shared" si="2"/>
        <v>8.916666667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outlineLevel="1">
      <c r="A15" s="65" t="s">
        <v>142</v>
      </c>
      <c r="B15" s="65">
        <v>0.375</v>
      </c>
      <c r="C15" s="65">
        <v>0.75</v>
      </c>
      <c r="D15" s="73">
        <f t="shared" si="1"/>
        <v>0.375</v>
      </c>
      <c r="E15" s="74">
        <f t="shared" si="2"/>
        <v>9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outlineLevel="1">
      <c r="A16" s="65" t="s">
        <v>143</v>
      </c>
      <c r="B16" s="65">
        <v>0.3402777777777778</v>
      </c>
      <c r="C16" s="65">
        <v>0.7326388888888888</v>
      </c>
      <c r="D16" s="73">
        <f t="shared" si="1"/>
        <v>0.3923611111</v>
      </c>
      <c r="E16" s="74">
        <f t="shared" si="2"/>
        <v>9.416666667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outlineLevel="1">
      <c r="A17" s="65" t="s">
        <v>144</v>
      </c>
      <c r="B17" s="65">
        <v>0.375</v>
      </c>
      <c r="C17" s="65">
        <v>0.75</v>
      </c>
      <c r="D17" s="73">
        <f t="shared" si="1"/>
        <v>0.375</v>
      </c>
      <c r="E17" s="74">
        <f t="shared" si="2"/>
        <v>9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outlineLevel="1">
      <c r="A18" s="64"/>
      <c r="B18" s="64"/>
      <c r="C18" s="75" t="s">
        <v>145</v>
      </c>
      <c r="D18" s="73">
        <f t="shared" ref="D18:E18" si="3">sum(D13:D17)</f>
        <v>1.909722222</v>
      </c>
      <c r="E18" s="74">
        <f t="shared" si="3"/>
        <v>45.83333333</v>
      </c>
      <c r="H18" s="76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outlineLevel="1">
      <c r="A19" s="63"/>
      <c r="B19" s="63"/>
      <c r="C19" s="77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outlineLevel="1"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outlineLevel="1">
      <c r="B21" s="63"/>
      <c r="C21" s="63"/>
      <c r="D21" s="78"/>
      <c r="E21" s="79"/>
      <c r="F21" s="63"/>
      <c r="G21" s="80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outlineLevel="1">
      <c r="A22" s="72" t="s">
        <v>136</v>
      </c>
      <c r="B22" s="72" t="s">
        <v>137</v>
      </c>
      <c r="C22" s="72" t="s">
        <v>138</v>
      </c>
      <c r="D22" s="72" t="s">
        <v>139</v>
      </c>
      <c r="E22" s="79"/>
      <c r="F22" s="63"/>
      <c r="G22" s="80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outlineLevel="1">
      <c r="A23" s="81">
        <v>44067.708333333336</v>
      </c>
      <c r="B23" s="81">
        <v>44068.041666666664</v>
      </c>
      <c r="C23" s="73">
        <f t="shared" ref="C23:C25" si="4">B23-A23</f>
        <v>0.3333333333</v>
      </c>
      <c r="D23" s="67">
        <f t="shared" ref="D23:D25" si="5">(B23-A23)*24</f>
        <v>8</v>
      </c>
      <c r="E23" s="79"/>
      <c r="F23" s="63"/>
      <c r="G23" s="80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outlineLevel="1">
      <c r="A24" s="81">
        <v>44068.791666666664</v>
      </c>
      <c r="B24" s="81">
        <v>44069.291666666664</v>
      </c>
      <c r="C24" s="73">
        <f t="shared" si="4"/>
        <v>0.5</v>
      </c>
      <c r="D24" s="67">
        <f t="shared" si="5"/>
        <v>12</v>
      </c>
      <c r="E24" s="79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outlineLevel="1">
      <c r="A25" s="81">
        <v>44069.541666666664</v>
      </c>
      <c r="B25" s="81">
        <v>44069.791666666664</v>
      </c>
      <c r="C25" s="73">
        <f t="shared" si="4"/>
        <v>0.25</v>
      </c>
      <c r="D25" s="67">
        <f t="shared" si="5"/>
        <v>6</v>
      </c>
      <c r="E25" s="79"/>
      <c r="F25" s="63"/>
      <c r="G25" s="80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outlineLevel="1">
      <c r="A26" s="82"/>
      <c r="B26" s="63"/>
      <c r="C26" s="63"/>
      <c r="D26" s="75"/>
      <c r="E26" s="75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>
      <c r="A27" s="82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</sheetData>
  <drawing r:id="rId1"/>
</worksheet>
</file>