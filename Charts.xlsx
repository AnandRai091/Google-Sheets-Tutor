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Basics" sheetId="2" r:id="rId6"/>
    <sheet state="visible" name="Aggregation" sheetId="3" r:id="rId7"/>
    <sheet state="visible" name="Combo" sheetId="4" r:id="rId8"/>
    <sheet state="visible" name="Dashboard Tools" sheetId="5" r:id="rId9"/>
    <sheet state="visible" name="Source Data" sheetId="6" r:id="rId10"/>
    <sheet state="visible" name="Slicers" sheetId="7" r:id="rId11"/>
    <sheet state="visible" name="Challenge" sheetId="8" r:id="rId12"/>
    <sheet state="visible" name="Sparklines" sheetId="9" r:id="rId13"/>
    <sheet state="visible" name="Stock Currency Trend" sheetId="10" r:id="rId14"/>
  </sheets>
  <definedNames>
    <definedName hidden="1" localSheetId="4" name="Z_9506E1D5_2641_4675_8F5D_7D3F42B762CA_.wvu.FilterData">'Dashboard Tools'!$A$4:$C$45</definedName>
    <definedName hidden="1" localSheetId="5" name="Z_9506E1D5_2641_4675_8F5D_7D3F42B762CA_.wvu.FilterData">'Source Data'!$A$3:$C$45</definedName>
    <definedName name="SlicerCache_Table_1_Col_1">#N/A</definedName>
  </definedNames>
  <calcPr/>
  <customWorkbookViews>
    <customWorkbookView activeSheetId="0" maximized="1" windowHeight="0" windowWidth="0" guid="{9506E1D5-2641-4675-8F5D-7D3F42B762CA}" name="Filter 2"/>
  </customWorkbookViews>
  <extLst>
    <ext uri="{46BE6895-7355-4a93-B00E-2C351335B9C9}">
      <x15:slicerCaches>
        <x14:slicerCache r:id="rId15"/>
      </x15:slicerCaches>
    </ext>
  </extLst>
</workbook>
</file>

<file path=xl/sharedStrings.xml><?xml version="1.0" encoding="utf-8"?>
<sst xmlns="http://schemas.openxmlformats.org/spreadsheetml/2006/main" count="503" uniqueCount="210">
  <si>
    <t>Google Sheets Essentials</t>
  </si>
  <si>
    <t xml:space="preserve">Charts </t>
  </si>
  <si>
    <t>LINK</t>
  </si>
  <si>
    <t>TOPIC</t>
  </si>
  <si>
    <t>COMPREHENSION</t>
  </si>
  <si>
    <t>YOUR NOTES</t>
  </si>
  <si>
    <t>Chart Basics (Column &amp; Line Charts)</t>
  </si>
  <si>
    <t>Select One…</t>
  </si>
  <si>
    <t>Aggregating Data in Charts (Bar &amp; Pie Charts)</t>
  </si>
  <si>
    <t>Combo (Combination) Charts</t>
  </si>
  <si>
    <t>Visualization Tools for Dashboards (Tables, Scorecards, Gauge chart)</t>
  </si>
  <si>
    <t>Add Slicers to Charts</t>
  </si>
  <si>
    <t>Challenge: Better Dashboards (auto-sorted charts)</t>
  </si>
  <si>
    <t>Sparklines to Impress</t>
  </si>
  <si>
    <t>Sparklines for Stock &amp; Currency Trends (Pro Tip)</t>
  </si>
  <si>
    <t>Week day</t>
  </si>
  <si>
    <t>Number of users logged in</t>
  </si>
  <si>
    <t>Mon</t>
  </si>
  <si>
    <t>Tue</t>
  </si>
  <si>
    <t>Wed</t>
  </si>
  <si>
    <t>Thu</t>
  </si>
  <si>
    <t>Fri</t>
  </si>
  <si>
    <t>Sat</t>
  </si>
  <si>
    <t>Sun</t>
  </si>
  <si>
    <t>Aggregating Data in Charts</t>
  </si>
  <si>
    <t>Automatic aggregation (sum, average, min, max etc.)</t>
  </si>
  <si>
    <t>Department</t>
  </si>
  <si>
    <t>Name</t>
  </si>
  <si>
    <t>Salary</t>
  </si>
  <si>
    <t>Sales</t>
  </si>
  <si>
    <t>Walter Miller</t>
  </si>
  <si>
    <t>Marketing</t>
  </si>
  <si>
    <t>Alissa Mitchell</t>
  </si>
  <si>
    <t>Procurement</t>
  </si>
  <si>
    <t>Ann Withers</t>
  </si>
  <si>
    <t>Kim West</t>
  </si>
  <si>
    <t>Finance</t>
  </si>
  <si>
    <t>Daniel Garrett</t>
  </si>
  <si>
    <t>Robert Marquez</t>
  </si>
  <si>
    <t>Vanessa Chavez</t>
  </si>
  <si>
    <t>Robert Musser</t>
  </si>
  <si>
    <t>Jessica Lowe</t>
  </si>
  <si>
    <t>Evie Williamson</t>
  </si>
  <si>
    <t>Skye Bennett</t>
  </si>
  <si>
    <t>Braeden Wilkins</t>
  </si>
  <si>
    <t>Donald Caldwell</t>
  </si>
  <si>
    <t>Amber Stevens</t>
  </si>
  <si>
    <t>Matilda Parry</t>
  </si>
  <si>
    <t>Jordan Parry</t>
  </si>
  <si>
    <t>Charlie Chambers</t>
  </si>
  <si>
    <t>Tommy Dixon</t>
  </si>
  <si>
    <t>Robert Hurley</t>
  </si>
  <si>
    <t>Harry Burke</t>
  </si>
  <si>
    <t>Richard Elliot</t>
  </si>
  <si>
    <t>Lukas Hofer</t>
  </si>
  <si>
    <t>Judy Bell</t>
  </si>
  <si>
    <t>Heidi Medina</t>
  </si>
  <si>
    <t>Matthew Ross</t>
  </si>
  <si>
    <t>Esme Carney</t>
  </si>
  <si>
    <t>Zac Fletcher</t>
  </si>
  <si>
    <t>Kristina Mclean</t>
  </si>
  <si>
    <t>Tom Wood</t>
  </si>
  <si>
    <t>Betina Bauer</t>
  </si>
  <si>
    <t>Cora Briggs</t>
  </si>
  <si>
    <t>Mike Saban</t>
  </si>
  <si>
    <t>Gary Miller</t>
  </si>
  <si>
    <t>Holly Macdonald</t>
  </si>
  <si>
    <t>Crystal Doyle</t>
  </si>
  <si>
    <t>Corinna Schmidt</t>
  </si>
  <si>
    <t>Brigitte Bond</t>
  </si>
  <si>
    <t>Imogen Clarke</t>
  </si>
  <si>
    <t>Paul Hill</t>
  </si>
  <si>
    <t>Stevie Bridge</t>
  </si>
  <si>
    <t>Alex Collins</t>
  </si>
  <si>
    <t>Robert Richardson</t>
  </si>
  <si>
    <t>Combo Charts</t>
  </si>
  <si>
    <t>Different Series Types in One Graph</t>
  </si>
  <si>
    <t>Quantity</t>
  </si>
  <si>
    <t>Actual</t>
  </si>
  <si>
    <t>Budget</t>
  </si>
  <si>
    <t>Laptop bag</t>
  </si>
  <si>
    <t>Men dress shirt</t>
  </si>
  <si>
    <t>Men shorts</t>
  </si>
  <si>
    <t>Men type T simple</t>
  </si>
  <si>
    <t>Women crop top</t>
  </si>
  <si>
    <t>Women dress Cocktail</t>
  </si>
  <si>
    <t>Women dress long</t>
  </si>
  <si>
    <t>Women type T simple</t>
  </si>
  <si>
    <t>Unisex tank top</t>
  </si>
  <si>
    <t>Visualization Tools for Dashboards</t>
  </si>
  <si>
    <t>--&gt;</t>
  </si>
  <si>
    <t>Scrolling Tables, Scorecards, Gauge chart</t>
  </si>
  <si>
    <t>CHALLENGE</t>
  </si>
  <si>
    <t>Division</t>
  </si>
  <si>
    <t>App</t>
  </si>
  <si>
    <t>Actual Sales</t>
  </si>
  <si>
    <t>Target Sales</t>
  </si>
  <si>
    <t>Game</t>
  </si>
  <si>
    <t>Kryptis</t>
  </si>
  <si>
    <t>Total Sales</t>
  </si>
  <si>
    <t>Productivity</t>
  </si>
  <si>
    <t>Flowrrr</t>
  </si>
  <si>
    <t>Utility</t>
  </si>
  <si>
    <t>Amplefio</t>
  </si>
  <si>
    <t>Kind Ape</t>
  </si>
  <si>
    <t>Tanox</t>
  </si>
  <si>
    <t>Voltage</t>
  </si>
  <si>
    <t>Motocyco</t>
  </si>
  <si>
    <t>Silvrr</t>
  </si>
  <si>
    <t>Baden</t>
  </si>
  <si>
    <t>Minor Liar</t>
  </si>
  <si>
    <t>Five Labs</t>
  </si>
  <si>
    <t>Fightrr</t>
  </si>
  <si>
    <t>Infic</t>
  </si>
  <si>
    <t>Twistrr</t>
  </si>
  <si>
    <t>Scrap</t>
  </si>
  <si>
    <t>Strex</t>
  </si>
  <si>
    <t>Blend</t>
  </si>
  <si>
    <t>Rehire</t>
  </si>
  <si>
    <t>Hackrr</t>
  </si>
  <si>
    <t>Misty Wash</t>
  </si>
  <si>
    <t>Mirrrr</t>
  </si>
  <si>
    <t>deRamblr</t>
  </si>
  <si>
    <t>Pes</t>
  </si>
  <si>
    <t>Inkly</t>
  </si>
  <si>
    <t>Didactic</t>
  </si>
  <si>
    <t>Pet Feed</t>
  </si>
  <si>
    <t>Accord</t>
  </si>
  <si>
    <t>Arcade</t>
  </si>
  <si>
    <t>Atmos</t>
  </si>
  <si>
    <t>Jellyfish</t>
  </si>
  <si>
    <t>WenCaL</t>
  </si>
  <si>
    <t>Right App</t>
  </si>
  <si>
    <t>Aviatrr</t>
  </si>
  <si>
    <t>Perino</t>
  </si>
  <si>
    <t>Sleops</t>
  </si>
  <si>
    <t>Mosquit</t>
  </si>
  <si>
    <t>Twenty20</t>
  </si>
  <si>
    <t>Dasring</t>
  </si>
  <si>
    <t>Halotot</t>
  </si>
  <si>
    <t>Commuta</t>
  </si>
  <si>
    <t>Adding Slicers to Charts (Source Data)</t>
  </si>
  <si>
    <t>Adding Slicers to Charts</t>
  </si>
  <si>
    <t>Challenge: Better Dashboards</t>
  </si>
  <si>
    <t>1. Create a sorted bar chart that shows the top 5 earners of the selected department.</t>
  </si>
  <si>
    <t>2. Create a table showing all employees of the selected department sorted by salary in ascending order.</t>
  </si>
  <si>
    <t>Source Data</t>
  </si>
  <si>
    <t>Data Preparation</t>
  </si>
  <si>
    <t>Top 5</t>
  </si>
  <si>
    <t>Top 5 Earners</t>
  </si>
  <si>
    <t>All Employees</t>
  </si>
  <si>
    <t>Mini charts inside cells</t>
  </si>
  <si>
    <t>Sparkline Vocabulary</t>
  </si>
  <si>
    <t>Jan</t>
  </si>
  <si>
    <t>Feb</t>
  </si>
  <si>
    <t>Mar</t>
  </si>
  <si>
    <t>Apr</t>
  </si>
  <si>
    <t>May</t>
  </si>
  <si>
    <t>Jun</t>
  </si>
  <si>
    <t>Line</t>
  </si>
  <si>
    <t>Line with fixed y axis</t>
  </si>
  <si>
    <t>stacked bar</t>
  </si>
  <si>
    <t>Column</t>
  </si>
  <si>
    <t>"line" for a line graph (the default)</t>
  </si>
  <si>
    <t>"bar" for a stacked bar chart</t>
  </si>
  <si>
    <t>"column" for a column chart</t>
  </si>
  <si>
    <t>"winloss" for a special type of column chart that plots 2 possible outcomes: positive and negative.</t>
  </si>
  <si>
    <t>For line graphs:</t>
  </si>
  <si>
    <t>"xmin" sets the minimum value along the horizontal axis.</t>
  </si>
  <si>
    <t>"xmax" sets the maximum value along the horizontal axis.</t>
  </si>
  <si>
    <t>"ymin" sets the minimum value along the vertical axis.</t>
  </si>
  <si>
    <t>"ymax" sets the maximum value along the vertical axis.</t>
  </si>
  <si>
    <t>"color" sets the color of the line.</t>
  </si>
  <si>
    <t>"empty" sets how to treat empty cells. Possible corresponding values include: "zero" or "ignore".</t>
  </si>
  <si>
    <t>"nan" sets how to treat cells with non-numeric data. Options are: "convert" and "ignore".</t>
  </si>
  <si>
    <t>"rtl" determines whether or not the chart is rendered right to left. Options are true or false.</t>
  </si>
  <si>
    <t>"linewidth" determines how thick the line will be in the chart. A higher number means a thicker line.</t>
  </si>
  <si>
    <t>For column and winloss:</t>
  </si>
  <si>
    <t>"color" sets the color of chart columns.</t>
  </si>
  <si>
    <t>"lowcolor" sets the color for the lowest value in the chart</t>
  </si>
  <si>
    <t>"highcolor" sets the color for the higest value in the chart</t>
  </si>
  <si>
    <t>"firstcolor" sets the color of the first column</t>
  </si>
  <si>
    <t>"lastcolor" sets the color of the last column</t>
  </si>
  <si>
    <t>"negcolor" sets the color of all negative columns</t>
  </si>
  <si>
    <t>"axis" decides if an axis needs to be drawn (true/false)</t>
  </si>
  <si>
    <t>"axiscolor" sets the color of the axis (if applicable)</t>
  </si>
  <si>
    <t>"ymin" sets the custom minimum data value that should be used for scaling the height of columns (not for win/loss)</t>
  </si>
  <si>
    <t>"ymax" sets the custom maximum data value that should be used for scaling the height of columns (not for win/loss)</t>
  </si>
  <si>
    <t>For bar charts:</t>
  </si>
  <si>
    <t>"max" sets the maximum value along the horizontal axis.</t>
  </si>
  <si>
    <t>"color1" sets the first color used for bars in the chart.</t>
  </si>
  <si>
    <t>"color2" sets the second color used for bars in the chart.</t>
  </si>
  <si>
    <t>Stock &amp; Currency Trends with Sparklines</t>
  </si>
  <si>
    <t>From</t>
  </si>
  <si>
    <t>EUR</t>
  </si>
  <si>
    <t>Trend for the last 90 days</t>
  </si>
  <si>
    <t>Stock Name</t>
  </si>
  <si>
    <t>T-90</t>
  </si>
  <si>
    <t>T</t>
  </si>
  <si>
    <t>NASDAQ:MSFT</t>
  </si>
  <si>
    <t>USD</t>
  </si>
  <si>
    <t>NASDAQ:GOOG</t>
  </si>
  <si>
    <t>NASDAQ:AMZN</t>
  </si>
  <si>
    <t>PLN</t>
  </si>
  <si>
    <t>NYSE:RCL</t>
  </si>
  <si>
    <t>GBP</t>
  </si>
  <si>
    <t>NASDAQ:UAL</t>
  </si>
  <si>
    <t>AUD</t>
  </si>
  <si>
    <t>INR</t>
  </si>
  <si>
    <t>CAD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</si>
</sst>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6">
    <font>
      <sz val="10.0"/>
      <color rgb="FF000000"/>
      <name val="Roboto"/>
      <scheme val="minor"/>
    </font>
    <font>
      <color theme="1"/>
      <name val="Roboto"/>
      <scheme val="minor"/>
    </font>
    <font>
      <b/>
      <color rgb="FFFFF2CC"/>
      <name val="Roboto"/>
      <scheme val="minor"/>
    </font>
    <font>
      <b/>
      <sz val="14.0"/>
      <color rgb="FFFFFFFF"/>
      <name val="Roboto"/>
      <scheme val="minor"/>
    </font>
    <font>
      <b/>
      <color rgb="FFFFFFFF"/>
      <name val="Roboto"/>
      <scheme val="minor"/>
    </font>
    <font>
      <u/>
      <color rgb="FF1155CC"/>
      <name val="Roboto"/>
      <scheme val="minor"/>
    </font>
    <font>
      <b/>
      <color theme="1"/>
      <name val="Roboto"/>
      <scheme val="minor"/>
    </font>
    <font>
      <u/>
      <color rgb="FF1155CC"/>
    </font>
    <font>
      <b/>
      <sz val="11.0"/>
      <color theme="1"/>
      <name val="Roboto"/>
      <scheme val="minor"/>
    </font>
    <font>
      <b/>
      <color theme="1"/>
      <name val="Roboto"/>
    </font>
    <font>
      <color rgb="FFFFFFFF"/>
      <name val="Roboto"/>
      <scheme val="minor"/>
    </font>
    <font>
      <color rgb="FFB7B7B7"/>
      <name val="Roboto"/>
      <scheme val="minor"/>
    </font>
    <font>
      <sz val="10.0"/>
      <color theme="1"/>
      <name val="Roboto"/>
      <scheme val="minor"/>
    </font>
    <font/>
    <font>
      <b/>
      <color theme="1"/>
      <name val="Arial"/>
    </font>
    <font>
      <color theme="1"/>
      <name val="Roboto"/>
    </font>
  </fonts>
  <fills count="10">
    <fill>
      <patternFill patternType="none"/>
    </fill>
    <fill>
      <patternFill patternType="lightGray"/>
    </fill>
    <fill>
      <patternFill patternType="solid">
        <fgColor theme="4"/>
        <bgColor theme="4"/>
      </patternFill>
    </fill>
    <fill>
      <patternFill patternType="solid">
        <fgColor rgb="FF9FC5E8"/>
        <bgColor rgb="FF9FC5E8"/>
      </patternFill>
    </fill>
    <fill>
      <patternFill patternType="solid">
        <fgColor rgb="FF999999"/>
        <bgColor rgb="FF999999"/>
      </patternFill>
    </fill>
    <fill>
      <patternFill patternType="solid">
        <fgColor rgb="FFECF7E8"/>
        <bgColor rgb="FFECF7E8"/>
      </patternFill>
    </fill>
    <fill>
      <patternFill patternType="solid">
        <fgColor rgb="FFF3F3F3"/>
        <bgColor rgb="FFF3F3F3"/>
      </patternFill>
    </fill>
    <fill>
      <patternFill patternType="solid">
        <fgColor rgb="FFD9EAD3"/>
        <bgColor rgb="FFD9EAD3"/>
      </patternFill>
    </fill>
    <fill>
      <patternFill patternType="solid">
        <fgColor rgb="FFFFFAEC"/>
        <bgColor rgb="FFFFFAEC"/>
      </patternFill>
    </fill>
    <fill>
      <patternFill patternType="solid">
        <fgColor rgb="FFEEFEFF"/>
        <bgColor rgb="FFEEFEFF"/>
      </patternFill>
    </fill>
  </fills>
  <borders count="15">
    <border/>
    <border>
      <bottom style="thin">
        <color rgb="FFEFEFEF"/>
      </bottom>
    </border>
    <border>
      <top style="thin">
        <color rgb="FFEFEFEF"/>
      </top>
      <bottom style="thin">
        <color rgb="FFEFEFEF"/>
      </bottom>
    </border>
    <border>
      <bottom style="thin">
        <color rgb="FF434343"/>
      </bottom>
    </border>
    <border>
      <bottom style="thick">
        <color rgb="FF3E50B3"/>
      </bottom>
    </border>
    <border>
      <bottom style="thin">
        <color rgb="FFCCCCCC"/>
      </bottom>
    </border>
    <border>
      <left style="thin">
        <color rgb="FFCCCCCC"/>
      </left>
      <right style="thin">
        <color rgb="FFCCCCCC"/>
      </right>
      <top style="thin">
        <color rgb="FFCCCCCC"/>
      </top>
      <bottom style="thin">
        <color rgb="FFCCCCCC"/>
      </bottom>
    </border>
    <border>
      <top style="thin">
        <color rgb="FFCCCCCC"/>
      </top>
      <bottom style="thin">
        <color rgb="FFCCCCCC"/>
      </bottom>
    </border>
    <border>
      <top style="thin">
        <color rgb="FFCCCCCC"/>
      </top>
    </border>
    <border>
      <bottom style="thin">
        <color rgb="FF999999"/>
      </bottom>
    </border>
    <border>
      <top style="thin">
        <color rgb="FFEFEFEF"/>
      </top>
      <bottom style="medium">
        <color rgb="FF999999"/>
      </bottom>
    </border>
    <border>
      <bottom style="medium">
        <color rgb="FF3E50B3"/>
      </bottom>
    </border>
    <border>
      <bottom style="medium">
        <color rgb="FF02A846"/>
      </bottom>
    </border>
    <border>
      <left style="thin">
        <color rgb="FFD9D9D9"/>
      </left>
      <right style="thin">
        <color rgb="FFD9D9D9"/>
      </right>
      <top style="thin">
        <color rgb="FFD9D9D9"/>
      </top>
      <bottom style="thin">
        <color rgb="FFD9D9D9"/>
      </bottom>
    </border>
    <border>
      <bottom style="thin">
        <color rgb="FFB7B7B7"/>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xf>
    <xf borderId="0" fillId="2" fontId="3" numFmtId="0" xfId="0" applyAlignment="1" applyFont="1">
      <alignment horizontal="center" readingOrder="0"/>
    </xf>
    <xf borderId="0" fillId="3" fontId="1" numFmtId="0" xfId="0" applyFill="1" applyFont="1"/>
    <xf borderId="0" fillId="3" fontId="4" numFmtId="0" xfId="0" applyAlignment="1" applyFont="1">
      <alignment readingOrder="0"/>
    </xf>
    <xf borderId="0" fillId="3" fontId="5" numFmtId="0" xfId="0" applyAlignment="1" applyFont="1">
      <alignment readingOrder="0"/>
    </xf>
    <xf borderId="0" fillId="0" fontId="6" numFmtId="0" xfId="0" applyAlignment="1" applyFont="1">
      <alignment readingOrder="0"/>
    </xf>
    <xf borderId="0" fillId="0" fontId="6" numFmtId="0" xfId="0" applyFont="1"/>
    <xf borderId="1" fillId="0" fontId="1" numFmtId="0" xfId="0" applyBorder="1" applyFont="1"/>
    <xf borderId="1" fillId="0" fontId="7"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readingOrder="0"/>
    </xf>
    <xf borderId="2" fillId="0" fontId="1" numFmtId="0" xfId="0" applyBorder="1" applyFont="1"/>
    <xf borderId="2" fillId="0" fontId="1" numFmtId="0" xfId="0" applyAlignment="1" applyBorder="1" applyFont="1">
      <alignment readingOrder="0" shrinkToFit="0" wrapText="1"/>
    </xf>
    <xf borderId="2" fillId="0" fontId="1" numFmtId="0" xfId="0" applyAlignment="1" applyBorder="1" applyFont="1">
      <alignment readingOrder="0"/>
    </xf>
    <xf borderId="0" fillId="3" fontId="1" numFmtId="0" xfId="0" applyAlignment="1" applyFont="1">
      <alignment shrinkToFit="0" wrapText="1"/>
    </xf>
    <xf borderId="3" fillId="0" fontId="8" numFmtId="0" xfId="0" applyAlignment="1" applyBorder="1" applyFont="1">
      <alignment readingOrder="0"/>
    </xf>
    <xf borderId="3" fillId="0" fontId="1" numFmtId="0" xfId="0" applyBorder="1" applyFont="1"/>
    <xf borderId="4" fillId="0" fontId="9" numFmtId="0" xfId="0" applyAlignment="1" applyBorder="1" applyFont="1">
      <alignment horizontal="left" readingOrder="0" vertical="bottom"/>
    </xf>
    <xf borderId="4" fillId="0" fontId="9" numFmtId="0" xfId="0" applyAlignment="1" applyBorder="1" applyFont="1">
      <alignment horizontal="left" readingOrder="0" shrinkToFit="0" vertical="bottom" wrapText="1"/>
    </xf>
    <xf borderId="0" fillId="0" fontId="1" numFmtId="0" xfId="0" applyAlignment="1" applyFont="1">
      <alignment readingOrder="0"/>
    </xf>
    <xf borderId="0" fillId="0" fontId="9" numFmtId="0" xfId="0" applyAlignment="1" applyFont="1">
      <alignment horizontal="left" readingOrder="0" vertical="bottom"/>
    </xf>
    <xf borderId="0" fillId="0" fontId="1" numFmtId="3" xfId="0" applyAlignment="1" applyFont="1" applyNumberFormat="1">
      <alignment readingOrder="0"/>
    </xf>
    <xf borderId="0" fillId="0" fontId="6" numFmtId="0" xfId="0" applyAlignment="1" applyFont="1">
      <alignment horizontal="center" readingOrder="0"/>
    </xf>
    <xf borderId="0" fillId="0" fontId="1" numFmtId="0" xfId="0" applyFont="1"/>
    <xf borderId="0" fillId="4" fontId="1" numFmtId="0" xfId="0" applyAlignment="1" applyFill="1" applyFont="1">
      <alignment readingOrder="0"/>
    </xf>
    <xf borderId="0" fillId="4" fontId="10" numFmtId="0" xfId="0" applyAlignment="1" applyFont="1">
      <alignment readingOrder="0" textRotation="255" vertical="top"/>
    </xf>
    <xf borderId="5" fillId="0" fontId="1" numFmtId="0" xfId="0" applyAlignment="1" applyBorder="1" applyFont="1">
      <alignment readingOrder="0"/>
    </xf>
    <xf borderId="5" fillId="0" fontId="1" numFmtId="3" xfId="0" applyAlignment="1" applyBorder="1" applyFont="1" applyNumberFormat="1">
      <alignment readingOrder="0"/>
    </xf>
    <xf borderId="0" fillId="0" fontId="11" numFmtId="0" xfId="0" applyAlignment="1" applyFont="1">
      <alignment readingOrder="0"/>
    </xf>
    <xf borderId="0" fillId="0" fontId="11" numFmtId="10" xfId="0" applyFont="1" applyNumberFormat="1"/>
    <xf borderId="0" fillId="0" fontId="1" numFmtId="10" xfId="0" applyFont="1" applyNumberFormat="1"/>
    <xf borderId="6" fillId="5" fontId="12" numFmtId="0" xfId="0" applyAlignment="1" applyBorder="1" applyFill="1" applyFont="1">
      <alignment readingOrder="0"/>
    </xf>
    <xf borderId="6" fillId="5" fontId="12" numFmtId="10" xfId="0" applyAlignment="1" applyBorder="1" applyFont="1" applyNumberFormat="1">
      <alignment readingOrder="0"/>
    </xf>
    <xf borderId="7" fillId="0" fontId="1" numFmtId="0" xfId="0" applyAlignment="1" applyBorder="1" applyFont="1">
      <alignment readingOrder="0"/>
    </xf>
    <xf borderId="7" fillId="0" fontId="1" numFmtId="3" xfId="0" applyAlignment="1" applyBorder="1" applyFont="1" applyNumberFormat="1">
      <alignment readingOrder="0"/>
    </xf>
    <xf borderId="0" fillId="4" fontId="1" numFmtId="0" xfId="0" applyFont="1"/>
    <xf borderId="8" fillId="0" fontId="1" numFmtId="0" xfId="0" applyAlignment="1" applyBorder="1" applyFont="1">
      <alignment readingOrder="0"/>
    </xf>
    <xf borderId="8" fillId="0" fontId="1" numFmtId="3" xfId="0" applyAlignment="1" applyBorder="1" applyFont="1" applyNumberFormat="1">
      <alignment readingOrder="0"/>
    </xf>
    <xf borderId="0" fillId="6" fontId="6" numFmtId="0" xfId="0" applyAlignment="1" applyFill="1" applyFont="1">
      <alignment readingOrder="0"/>
    </xf>
    <xf borderId="0" fillId="6" fontId="1" numFmtId="0" xfId="0" applyFont="1"/>
    <xf borderId="0" fillId="7" fontId="6" numFmtId="0" xfId="0" applyAlignment="1" applyFill="1" applyFont="1">
      <alignment readingOrder="0"/>
    </xf>
    <xf borderId="0" fillId="7" fontId="1" numFmtId="0" xfId="0" applyFont="1"/>
    <xf borderId="6" fillId="8" fontId="8" numFmtId="0" xfId="0" applyAlignment="1" applyBorder="1" applyFill="1" applyFont="1">
      <alignment readingOrder="0"/>
    </xf>
    <xf borderId="5" fillId="0" fontId="6" numFmtId="0" xfId="0" applyAlignment="1" applyBorder="1" applyFont="1">
      <alignment readingOrder="0"/>
    </xf>
    <xf borderId="0" fillId="5" fontId="1" numFmtId="0" xfId="0" applyFont="1"/>
    <xf borderId="0" fillId="0" fontId="1" numFmtId="3" xfId="0" applyFont="1" applyNumberFormat="1"/>
    <xf borderId="9" fillId="0" fontId="8" numFmtId="0" xfId="0" applyAlignment="1" applyBorder="1" applyFont="1">
      <alignment readingOrder="0"/>
    </xf>
    <xf borderId="9" fillId="0" fontId="1" numFmtId="0" xfId="0" applyBorder="1" applyFont="1"/>
    <xf borderId="10" fillId="0" fontId="6" numFmtId="0" xfId="0" applyAlignment="1" applyBorder="1" applyFont="1">
      <alignment readingOrder="0"/>
    </xf>
    <xf borderId="10" fillId="0" fontId="1" numFmtId="0" xfId="0" applyAlignment="1" applyBorder="1" applyFont="1">
      <alignment readingOrder="0"/>
    </xf>
    <xf borderId="11" fillId="0" fontId="9" numFmtId="0" xfId="0" applyAlignment="1" applyBorder="1" applyFont="1">
      <alignment horizontal="left" readingOrder="0" vertical="bottom"/>
    </xf>
    <xf borderId="12" fillId="0" fontId="9" numFmtId="0" xfId="0" applyAlignment="1" applyBorder="1" applyFont="1">
      <alignment horizontal="left" readingOrder="0" vertical="bottom"/>
    </xf>
    <xf borderId="12" fillId="0" fontId="9" numFmtId="0" xfId="0" applyAlignment="1" applyBorder="1" applyFont="1">
      <alignment horizontal="left" readingOrder="0" shrinkToFit="0" vertical="bottom" wrapText="1"/>
    </xf>
    <xf borderId="0" fillId="0" fontId="1" numFmtId="0" xfId="0" applyAlignment="1" applyFont="1">
      <alignment readingOrder="0"/>
    </xf>
    <xf borderId="2" fillId="0" fontId="1" numFmtId="0" xfId="0" applyAlignment="1" applyBorder="1" applyFont="1">
      <alignment readingOrder="0"/>
    </xf>
    <xf borderId="7" fillId="0" fontId="1" numFmtId="0" xfId="0" applyBorder="1" applyFont="1"/>
    <xf borderId="8" fillId="0" fontId="1" numFmtId="0" xfId="0" applyBorder="1" applyFont="1"/>
    <xf borderId="10" fillId="0" fontId="1" numFmtId="0" xfId="0" applyBorder="1" applyFont="1"/>
    <xf borderId="10" fillId="0" fontId="1" numFmtId="0" xfId="0" applyAlignment="1" applyBorder="1" applyFont="1">
      <alignment readingOrder="0"/>
    </xf>
    <xf borderId="1" fillId="0" fontId="6" numFmtId="0" xfId="0" applyAlignment="1" applyBorder="1" applyFont="1">
      <alignment readingOrder="0"/>
    </xf>
    <xf borderId="1" fillId="0" fontId="1" numFmtId="0" xfId="0" applyAlignment="1" applyBorder="1" applyFont="1">
      <alignment readingOrder="0"/>
    </xf>
    <xf borderId="0" fillId="0" fontId="6" numFmtId="0" xfId="0" applyAlignment="1" applyFont="1">
      <alignment readingOrder="0" shrinkToFit="0" vertical="top" wrapText="1"/>
    </xf>
    <xf borderId="1" fillId="0" fontId="13" numFmtId="0" xfId="0" applyBorder="1" applyFont="1"/>
    <xf borderId="13" fillId="9" fontId="14" numFmtId="0" xfId="0" applyAlignment="1" applyBorder="1" applyFill="1" applyFont="1">
      <alignment readingOrder="0" vertical="bottom"/>
    </xf>
    <xf borderId="0" fillId="0" fontId="9" numFmtId="0" xfId="0" applyAlignment="1" applyFont="1">
      <alignment horizontal="left" vertical="bottom"/>
    </xf>
    <xf borderId="0" fillId="0" fontId="14" numFmtId="0" xfId="0" applyAlignment="1" applyFont="1">
      <alignment vertical="bottom"/>
    </xf>
    <xf borderId="0" fillId="0" fontId="1" numFmtId="0" xfId="0" applyAlignment="1" applyFont="1">
      <alignment readingOrder="0"/>
    </xf>
    <xf borderId="14" fillId="0" fontId="1" numFmtId="0" xfId="0" applyAlignment="1" applyBorder="1" applyFont="1">
      <alignment readingOrder="0"/>
    </xf>
    <xf borderId="14" fillId="0" fontId="1" numFmtId="0" xfId="0" applyAlignment="1" applyBorder="1" applyFont="1">
      <alignment horizontal="right" readingOrder="0"/>
    </xf>
    <xf borderId="5" fillId="0" fontId="15" numFmtId="0" xfId="0" applyAlignment="1" applyBorder="1" applyFont="1">
      <alignment vertical="bottom"/>
    </xf>
    <xf borderId="5" fillId="0" fontId="15" numFmtId="164" xfId="0" applyAlignment="1" applyBorder="1" applyFont="1" applyNumberFormat="1">
      <alignment vertical="bottom"/>
    </xf>
    <xf borderId="5" fillId="0" fontId="13" numFmtId="0" xfId="0" applyBorder="1" applyFont="1"/>
    <xf borderId="7" fillId="0" fontId="15" numFmtId="0" xfId="0" applyAlignment="1" applyBorder="1" applyFont="1">
      <alignment vertical="bottom"/>
    </xf>
  </cellXfs>
  <cellStyles count="1">
    <cellStyle xfId="0" name="Normal" builtinId="0"/>
  </cellStyles>
  <dxfs count="4">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AE5E5"/>
          <bgColor rgb="FFFAE5E5"/>
        </patternFill>
      </fill>
      <border/>
    </dxf>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Number of users logged in by Week day</a:t>
            </a:r>
          </a:p>
        </c:rich>
      </c:tx>
      <c:overlay val="0"/>
    </c:title>
    <c:plotArea>
      <c:layout>
        <c:manualLayout>
          <c:xMode val="edge"/>
          <c:yMode val="edge"/>
          <c:x val="0.06294536817102138"/>
          <c:y val="0.15996168582375478"/>
          <c:w val="0.9073634204275535"/>
          <c:h val="0.6061302681992337"/>
        </c:manualLayout>
      </c:layout>
      <c:lineChart>
        <c:varyColors val="0"/>
        <c:ser>
          <c:idx val="0"/>
          <c:order val="0"/>
          <c:tx>
            <c:strRef>
              <c:f>Basics!$B$3</c:f>
            </c:strRef>
          </c:tx>
          <c:spPr>
            <a:ln cmpd="sng">
              <a:solidFill>
                <a:srgbClr val="3D85C6"/>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Basics!$A$4:$A$12</c:f>
            </c:strRef>
          </c:cat>
          <c:val>
            <c:numRef>
              <c:f>Basics!$B$4:$B$12</c:f>
              <c:numCache/>
            </c:numRef>
          </c:val>
          <c:smooth val="0"/>
        </c:ser>
        <c:axId val="462515142"/>
        <c:axId val="168890734"/>
      </c:lineChart>
      <c:catAx>
        <c:axId val="462515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68890734"/>
      </c:catAx>
      <c:valAx>
        <c:axId val="168890734"/>
        <c:scaling>
          <c:orientation val="minMax"/>
        </c:scaling>
        <c:delete val="0"/>
        <c:axPos val="l"/>
        <c:majorGridlines>
          <c:spPr>
            <a:ln>
              <a:solidFill>
                <a:srgbClr val="EFEFEF"/>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 sourceLinked="0"/>
        <c:majorTickMark val="none"/>
        <c:minorTickMark val="none"/>
        <c:tickLblPos val="nextTo"/>
        <c:spPr>
          <a:ln/>
        </c:spPr>
        <c:txPr>
          <a:bodyPr/>
          <a:lstStyle/>
          <a:p>
            <a:pPr lvl="0">
              <a:defRPr b="0">
                <a:solidFill>
                  <a:srgbClr val="000000"/>
                </a:solidFill>
                <a:latin typeface="+mn-lt"/>
              </a:defRPr>
            </a:pPr>
          </a:p>
        </c:txPr>
        <c:crossAx val="46251514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Number of users logged in by Week day</a:t>
            </a:r>
          </a:p>
        </c:rich>
      </c:tx>
      <c:overlay val="0"/>
    </c:title>
    <c:plotArea>
      <c:layout>
        <c:manualLayout>
          <c:xMode val="edge"/>
          <c:yMode val="edge"/>
          <c:x val="0.06294536817102138"/>
          <c:y val="0.15996168582375478"/>
          <c:w val="0.9073634204275535"/>
          <c:h val="0.6061302681992337"/>
        </c:manualLayout>
      </c:layout>
      <c:barChart>
        <c:barDir val="col"/>
        <c:ser>
          <c:idx val="0"/>
          <c:order val="0"/>
          <c:tx>
            <c:strRef>
              <c:f>Basics!$B$3</c:f>
            </c:strRef>
          </c:tx>
          <c:spPr>
            <a:solidFill>
              <a:srgbClr val="3D85C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Basics!$A$4:$A$12</c:f>
            </c:strRef>
          </c:cat>
          <c:val>
            <c:numRef>
              <c:f>Basics!$B$4:$B$12</c:f>
              <c:numCache/>
            </c:numRef>
          </c:val>
        </c:ser>
        <c:axId val="1144866143"/>
        <c:axId val="1694669508"/>
      </c:barChart>
      <c:catAx>
        <c:axId val="11448661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694669508"/>
      </c:catAx>
      <c:valAx>
        <c:axId val="1694669508"/>
        <c:scaling>
          <c:orientation val="minMax"/>
        </c:scaling>
        <c:delete val="0"/>
        <c:axPos val="l"/>
        <c:majorGridlines>
          <c:spPr>
            <a:ln>
              <a:solidFill>
                <a:srgbClr val="EFEFEF"/>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 sourceLinked="0"/>
        <c:majorTickMark val="none"/>
        <c:minorTickMark val="none"/>
        <c:tickLblPos val="nextTo"/>
        <c:spPr>
          <a:ln/>
        </c:spPr>
        <c:txPr>
          <a:bodyPr/>
          <a:lstStyle/>
          <a:p>
            <a:pPr lvl="0">
              <a:defRPr b="0">
                <a:solidFill>
                  <a:srgbClr val="000000"/>
                </a:solidFill>
                <a:latin typeface="+mn-lt"/>
              </a:defRPr>
            </a:pPr>
          </a:p>
        </c:txPr>
        <c:crossAx val="114486614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Quantity by Product Actual Vs. Budget</a:t>
            </a:r>
          </a:p>
        </c:rich>
      </c:tx>
      <c:overlay val="0"/>
    </c:title>
    <c:plotArea>
      <c:layout/>
      <c:barChart>
        <c:barDir val="col"/>
        <c:ser>
          <c:idx val="0"/>
          <c:order val="0"/>
          <c:tx>
            <c:strRef>
              <c:f>Combo!$B$5</c:f>
            </c:strRef>
          </c:tx>
          <c:spPr>
            <a:solidFill>
              <a:schemeClr val="accent1"/>
            </a:solidFill>
            <a:ln cmpd="sng">
              <a:solidFill>
                <a:srgbClr val="000000"/>
              </a:solidFill>
            </a:ln>
          </c:spPr>
          <c:cat>
            <c:strRef>
              <c:f>Combo!$A$6:$A$14</c:f>
            </c:strRef>
          </c:cat>
          <c:val>
            <c:numRef>
              <c:f>Combo!$B$6:$B$14</c:f>
              <c:numCache/>
            </c:numRef>
          </c:val>
        </c:ser>
        <c:axId val="1240115006"/>
        <c:axId val="401503536"/>
      </c:barChart>
      <c:lineChart>
        <c:varyColors val="0"/>
        <c:ser>
          <c:idx val="1"/>
          <c:order val="1"/>
          <c:tx>
            <c:strRef>
              <c:f>Combo!$C$5</c:f>
            </c:strRef>
          </c:tx>
          <c:spPr>
            <a:ln cmpd="sng">
              <a:solidFill>
                <a:srgbClr val="A4C2F4"/>
              </a:solidFill>
            </a:ln>
          </c:spPr>
          <c:marker>
            <c:symbol val="none"/>
          </c:marker>
          <c:cat>
            <c:strRef>
              <c:f>Combo!$A$6:$A$14</c:f>
            </c:strRef>
          </c:cat>
          <c:val>
            <c:numRef>
              <c:f>Combo!$C$6:$C$14</c:f>
              <c:numCache/>
            </c:numRef>
          </c:val>
          <c:smooth val="0"/>
        </c:ser>
        <c:axId val="1240115006"/>
        <c:axId val="401503536"/>
      </c:lineChart>
      <c:catAx>
        <c:axId val="12401150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1503536"/>
      </c:catAx>
      <c:valAx>
        <c:axId val="401503536"/>
        <c:scaling>
          <c:orientation val="minMax"/>
        </c:scaling>
        <c:delete val="0"/>
        <c:axPos val="l"/>
        <c:majorGridlines>
          <c:spPr>
            <a:ln>
              <a:solidFill>
                <a:srgbClr val="EFEFE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011500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Salary by employee</a:t>
            </a:r>
          </a:p>
        </c:rich>
      </c:tx>
      <c:layout>
        <c:manualLayout>
          <c:xMode val="edge"/>
          <c:yMode val="edge"/>
          <c:x val="0.04486552567237164"/>
          <c:y val="0.05"/>
        </c:manualLayout>
      </c:layout>
      <c:overlay val="0"/>
    </c:title>
    <c:plotArea>
      <c:layout>
        <c:manualLayout>
          <c:xMode val="edge"/>
          <c:yMode val="edge"/>
          <c:x val="0.3117359413202934"/>
          <c:y val="0.14097022094140246"/>
          <c:w val="0.645843520782396"/>
          <c:h val="0.7571565802113353"/>
        </c:manualLayout>
      </c:layout>
      <c:barChart>
        <c:barDir val="bar"/>
        <c:ser>
          <c:idx val="0"/>
          <c:order val="0"/>
          <c:tx>
            <c:strRef>
              <c:f>'Source Data'!$C$3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'Source Data'!$B$4:$B$45</c:f>
            </c:strRef>
          </c:cat>
          <c:val>
            <c:numRef>
              <c:f>'Source Data'!$C$4:$C$45</c:f>
              <c:numCache/>
            </c:numRef>
          </c:val>
        </c:ser>
        <c:axId val="444541033"/>
        <c:axId val="2047980962"/>
      </c:barChart>
      <c:catAx>
        <c:axId val="4445410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7980962"/>
      </c:catAx>
      <c:valAx>
        <c:axId val="2047980962"/>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444541033"/>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8966346153846156"/>
          <c:y val="0.06108597285067873"/>
          <c:w val="0.6298076923076923"/>
          <c:h val="0.8248570876475418"/>
        </c:manualLayout>
      </c:layout>
      <c:barChart>
        <c:barDir val="bar"/>
        <c:ser>
          <c:idx val="0"/>
          <c:order val="0"/>
          <c:tx>
            <c:strRef>
              <c:f>Challenge!$P$5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Challenge!$O$6:$O$11</c:f>
            </c:strRef>
          </c:cat>
          <c:val>
            <c:numRef>
              <c:f>Challenge!$P$6:$P$11</c:f>
              <c:numCache/>
            </c:numRef>
          </c:val>
        </c:ser>
        <c:axId val="2015464650"/>
        <c:axId val="1888828480"/>
      </c:barChart>
      <c:catAx>
        <c:axId val="201546465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888828480"/>
      </c:catAx>
      <c:valAx>
        <c:axId val="1888828480"/>
        <c:scaling>
          <c:orientation val="minMax"/>
          <c:min val="0.0"/>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015464650"/>
        <c:crosses val="max"/>
      </c:valAx>
    </c:plotArea>
    <c:legend>
      <c:legendPos val="r"/>
      <c:overlay val="0"/>
      <c:txPr>
        <a:bodyPr/>
        <a:lstStyle/>
        <a:p>
          <a:pPr lvl="0">
            <a:defRPr b="0">
              <a:solidFill>
                <a:srgbClr val="1A1A1A"/>
              </a:solidFill>
              <a:latin typeface="+mn-lt"/>
            </a:defRPr>
          </a:pPr>
        </a:p>
      </c:txPr>
    </c:legend>
    <c:plotVisOnly val="0"/>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Chart6.png"/><Relationship Id="rId2" Type="http://schemas.openxmlformats.org/officeDocument/2006/relationships/image" Target="../media/Chart7.png"/><Relationship Id="rId3" Type="http://schemas.openxmlformats.org/officeDocument/2006/relationships/image" Target="../media/Chart8.png"/><Relationship Id="rId4" Type="http://schemas.openxmlformats.org/officeDocument/2006/relationships/image" Target="../media/Chart9.png"/></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Chart1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Chart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2</xdr:row>
      <xdr:rowOff>19050</xdr:rowOff>
    </xdr:from>
    <xdr:ext cx="4010025" cy="2486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561975</xdr:colOff>
      <xdr:row>12</xdr:row>
      <xdr:rowOff>57150</xdr:rowOff>
    </xdr:from>
    <xdr:ext cx="4010025" cy="24860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276225</xdr:colOff>
      <xdr:row>3</xdr:row>
      <xdr:rowOff>47625</xdr:rowOff>
    </xdr:from>
    <xdr:ext cx="4248150" cy="2628900"/>
    <xdr:pic>
      <xdr:nvPicPr>
        <xdr:cNvPr id="1920481931"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152400</xdr:colOff>
      <xdr:row>4</xdr:row>
      <xdr:rowOff>28575</xdr:rowOff>
    </xdr:from>
    <xdr:ext cx="3629025" cy="2247900"/>
    <xdr:pic>
      <xdr:nvPicPr>
        <xdr:cNvPr id="1331758566"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2</xdr:row>
      <xdr:rowOff>95250</xdr:rowOff>
    </xdr:from>
    <xdr:ext cx="4924425" cy="25527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123825</xdr:rowOff>
    </xdr:from>
    <xdr:ext cx="3810000" cy="1485900"/>
    <xdr:pic>
      <xdr:nvPicPr>
        <xdr:cNvPr id="2039697884" name="Chart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762000</xdr:colOff>
      <xdr:row>6</xdr:row>
      <xdr:rowOff>57150</xdr:rowOff>
    </xdr:from>
    <xdr:ext cx="3524250" cy="2019300"/>
    <xdr:pic>
      <xdr:nvPicPr>
        <xdr:cNvPr id="521713584"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161925</xdr:colOff>
      <xdr:row>6</xdr:row>
      <xdr:rowOff>57150</xdr:rowOff>
    </xdr:from>
    <xdr:ext cx="2352675" cy="1352550"/>
    <xdr:pic>
      <xdr:nvPicPr>
        <xdr:cNvPr id="1616650887"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638175</xdr:colOff>
      <xdr:row>13</xdr:row>
      <xdr:rowOff>114300</xdr:rowOff>
    </xdr:from>
    <xdr:ext cx="1409700" cy="1352550"/>
    <xdr:pic>
      <xdr:nvPicPr>
        <xdr:cNvPr id="1645576036" name="Chart9"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4</xdr:row>
      <xdr:rowOff>104775</xdr:rowOff>
    </xdr:from>
    <xdr:ext cx="3895725" cy="33051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247650</xdr:colOff>
      <xdr:row>4</xdr:row>
      <xdr:rowOff>104775</xdr:rowOff>
    </xdr:from>
    <xdr:ext cx="3495675" cy="2171700"/>
    <xdr:pic>
      <xdr:nvPicPr>
        <xdr:cNvPr id="316980363" name="Chart11"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923925</xdr:colOff>
      <xdr:row>1</xdr:row>
      <xdr:rowOff>171450</xdr:rowOff>
    </xdr:from>
    <xdr:ext cx="2857500" cy="2857500"/>
    <mc:AlternateContent>
      <mc:Choice Requires="sle15">
        <xdr:graphicFrame>
          <xdr:nvGraphicFramePr>
            <xdr:cNvPr id="1" name="Department_1"/>
            <xdr:cNvGraphicFramePr/>
          </xdr:nvGraphicFramePr>
          <xdr:xfrm>
            <a:off x="0" y="0"/>
            <a:ext cx="0" cy="0"/>
          </xdr:xfrm>
          <a:graphic>
            <a:graphicData uri="http://schemas.microsoft.com/office/drawing/2010/slicer">
              <x3Unk:slicer name="Departmen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28575</xdr:rowOff>
    </xdr:from>
    <xdr:ext cx="3962400" cy="210502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542925</xdr:colOff>
      <xdr:row>8</xdr:row>
      <xdr:rowOff>85725</xdr:rowOff>
    </xdr:from>
    <xdr:ext cx="3028950" cy="1990725"/>
    <xdr:pic>
      <xdr:nvPicPr>
        <xdr:cNvPr id="1843736487" name="Chart1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Department">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artment_1" cache="SlicerCache_Table_1_Col_1" caption="Department" rowHeight="247650"/>
</x14:slicers>
</file>

<file path=xl/tables/table1.xml><?xml version="1.0" encoding="utf-8"?>
<table xmlns="http://schemas.openxmlformats.org/spreadsheetml/2006/main" ref="A3:C45" displayName="Table_1" name="Table_1" id="1">
  <autoFilter ref="$A$3:$C$45">
    <filterColumn colId="0">
      <filters>
        <filter val="Finance"/>
      </filters>
    </filterColumn>
  </autoFilter>
  <tableColumns count="3">
    <tableColumn name="Department" id="1"/>
    <tableColumn name="Name" id="2"/>
    <tableColumn name="Salary"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E50B3"/>
      </a:accent1>
      <a:accent2>
        <a:srgbClr val="F44234"/>
      </a:accent2>
      <a:accent3>
        <a:srgbClr val="E2F54C"/>
      </a:accent3>
      <a:accent4>
        <a:srgbClr val="02A846"/>
      </a:accent4>
      <a:accent5>
        <a:srgbClr val="E71D62"/>
      </a:accent5>
      <a:accent6>
        <a:srgbClr val="9B26AE"/>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1D62"/>
    <outlinePr summaryBelow="0" summaryRight="0"/>
  </sheetPr>
  <sheetViews>
    <sheetView showGridLines="0" workbookViewId="0"/>
  </sheetViews>
  <sheetFormatPr customHeight="1" defaultColWidth="12.63" defaultRowHeight="15.75"/>
  <cols>
    <col customWidth="1" min="1" max="1" width="3.25"/>
    <col customWidth="1" min="2" max="2" width="9.5"/>
    <col customWidth="1" min="3" max="3" width="36.75"/>
    <col customWidth="1" min="4" max="4" width="3.13"/>
    <col customWidth="1" min="5" max="5" width="21.75"/>
    <col customWidth="1" min="6" max="6" width="37.63"/>
    <col customWidth="1" min="7" max="7" width="7.63"/>
  </cols>
  <sheetData>
    <row r="1">
      <c r="A1" s="1"/>
      <c r="B1" s="2" t="s">
        <v>0</v>
      </c>
    </row>
    <row r="2">
      <c r="A2" s="1"/>
      <c r="B2" s="3" t="s">
        <v>1</v>
      </c>
    </row>
    <row r="3">
      <c r="A3" s="4"/>
      <c r="B3" s="5"/>
      <c r="C3" s="4"/>
      <c r="D3" s="4"/>
      <c r="E3" s="6"/>
      <c r="F3" s="4"/>
      <c r="G3" s="4"/>
    </row>
    <row r="4" ht="24.75" customHeight="1">
      <c r="B4" s="7" t="s">
        <v>2</v>
      </c>
      <c r="C4" s="7" t="s">
        <v>3</v>
      </c>
      <c r="D4" s="8"/>
      <c r="E4" s="7" t="s">
        <v>4</v>
      </c>
      <c r="F4" s="7" t="s">
        <v>5</v>
      </c>
      <c r="G4" s="8"/>
    </row>
    <row r="5" ht="24.0" customHeight="1">
      <c r="A5" s="9"/>
      <c r="B5" s="10" t="s">
        <v>2</v>
      </c>
      <c r="C5" s="11" t="s">
        <v>6</v>
      </c>
      <c r="D5" s="9"/>
      <c r="E5" s="12" t="s">
        <v>7</v>
      </c>
      <c r="F5" s="9"/>
      <c r="G5" s="9"/>
    </row>
    <row r="6">
      <c r="A6" s="13"/>
      <c r="B6" s="10" t="s">
        <v>2</v>
      </c>
      <c r="C6" s="14" t="s">
        <v>8</v>
      </c>
      <c r="D6" s="13"/>
      <c r="E6" s="15" t="s">
        <v>7</v>
      </c>
      <c r="F6" s="13"/>
      <c r="G6" s="13"/>
    </row>
    <row r="7">
      <c r="A7" s="13"/>
      <c r="B7" s="10" t="s">
        <v>2</v>
      </c>
      <c r="C7" s="14" t="s">
        <v>9</v>
      </c>
      <c r="D7" s="13"/>
      <c r="E7" s="15" t="s">
        <v>7</v>
      </c>
      <c r="F7" s="13"/>
      <c r="G7" s="13"/>
    </row>
    <row r="8">
      <c r="A8" s="13"/>
      <c r="B8" s="10" t="s">
        <v>2</v>
      </c>
      <c r="C8" s="14" t="s">
        <v>10</v>
      </c>
      <c r="D8" s="13"/>
      <c r="E8" s="15" t="s">
        <v>7</v>
      </c>
      <c r="F8" s="13"/>
      <c r="G8" s="13"/>
    </row>
    <row r="9">
      <c r="A9" s="13"/>
      <c r="B9" s="10" t="s">
        <v>2</v>
      </c>
      <c r="C9" s="14" t="s">
        <v>11</v>
      </c>
      <c r="D9" s="13"/>
      <c r="E9" s="15" t="s">
        <v>7</v>
      </c>
      <c r="F9" s="13"/>
      <c r="G9" s="13"/>
    </row>
    <row r="10">
      <c r="A10" s="13"/>
      <c r="B10" s="10" t="s">
        <v>2</v>
      </c>
      <c r="C10" s="14" t="s">
        <v>12</v>
      </c>
      <c r="D10" s="13"/>
      <c r="E10" s="15" t="s">
        <v>7</v>
      </c>
      <c r="F10" s="13"/>
      <c r="G10" s="13"/>
    </row>
    <row r="11">
      <c r="A11" s="13"/>
      <c r="B11" s="10" t="s">
        <v>2</v>
      </c>
      <c r="C11" s="14" t="s">
        <v>13</v>
      </c>
      <c r="D11" s="13"/>
      <c r="E11" s="15" t="s">
        <v>7</v>
      </c>
      <c r="F11" s="13"/>
      <c r="G11" s="13"/>
    </row>
    <row r="12">
      <c r="A12" s="13"/>
      <c r="B12" s="10" t="s">
        <v>2</v>
      </c>
      <c r="C12" s="14" t="s">
        <v>14</v>
      </c>
      <c r="D12" s="13"/>
      <c r="E12" s="15" t="s">
        <v>7</v>
      </c>
      <c r="F12" s="13"/>
      <c r="G12" s="13"/>
    </row>
    <row r="13">
      <c r="A13" s="13"/>
      <c r="B13" s="13"/>
      <c r="C13" s="14"/>
      <c r="D13" s="13"/>
      <c r="E13" s="15"/>
      <c r="F13" s="13"/>
      <c r="G13" s="13"/>
    </row>
    <row r="14">
      <c r="A14" s="13"/>
      <c r="B14" s="13"/>
      <c r="C14" s="14"/>
      <c r="D14" s="13"/>
      <c r="E14" s="15"/>
      <c r="F14" s="13"/>
      <c r="G14" s="13"/>
    </row>
    <row r="15" ht="9.75" customHeight="1">
      <c r="A15" s="4"/>
      <c r="B15" s="4"/>
      <c r="C15" s="16"/>
      <c r="D15" s="4"/>
      <c r="E15" s="4"/>
      <c r="F15" s="4"/>
      <c r="G15" s="4"/>
    </row>
  </sheetData>
  <mergeCells count="2">
    <mergeCell ref="B1:G1"/>
    <mergeCell ref="B2:G2"/>
  </mergeCells>
  <conditionalFormatting sqref="B5:F14">
    <cfRule type="expression" dxfId="0" priority="1">
      <formula>$E5="Done &amp; Understood"</formula>
    </cfRule>
  </conditionalFormatting>
  <conditionalFormatting sqref="B5:F14">
    <cfRule type="expression" dxfId="1" priority="2">
      <formula>$E5="Done but needs practice"</formula>
    </cfRule>
  </conditionalFormatting>
  <conditionalFormatting sqref="B5:F14">
    <cfRule type="expression" dxfId="2" priority="3">
      <formula>$E5="Review Later"</formula>
    </cfRule>
  </conditionalFormatting>
  <dataValidations>
    <dataValidation type="list" allowBlank="1" showInputMessage="1" prompt="Select your level of understanding" sqref="E5:E12">
      <formula1>"Select One…,Done &amp; Understood,Done but needs practice,Review Later"</formula1>
    </dataValidation>
  </dataValidations>
  <hyperlinks>
    <hyperlink display="LINK" location="Basics!A1" ref="B5"/>
    <hyperlink display="LINK" location="Aggregation!A1" ref="B6"/>
    <hyperlink display="LINK" location="Combo!A1" ref="B7"/>
    <hyperlink display="LINK" location="'Dashboard Tools'!A1" ref="B8"/>
    <hyperlink display="LINK" location="Slicers!A1" ref="B9"/>
    <hyperlink display="LINK" location="Challenge!A1" ref="B10"/>
    <hyperlink display="LINK" location="Sparklines!A1" ref="B11"/>
    <hyperlink display="LINK" location="'Stock Currency Trend'!A1" ref="B1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cols>
    <col customWidth="1" min="1" max="2" width="8.38"/>
    <col customWidth="1" min="3" max="3" width="15.63"/>
  </cols>
  <sheetData>
    <row r="1">
      <c r="A1" s="17" t="s">
        <v>6</v>
      </c>
      <c r="B1" s="18"/>
      <c r="C1" s="18"/>
      <c r="D1" s="18"/>
      <c r="E1" s="18"/>
      <c r="F1" s="18"/>
    </row>
    <row r="3">
      <c r="A3" s="19" t="s">
        <v>15</v>
      </c>
      <c r="B3" s="20" t="s">
        <v>16</v>
      </c>
    </row>
    <row r="4">
      <c r="A4" s="21" t="s">
        <v>17</v>
      </c>
      <c r="B4" s="21">
        <v>256.0</v>
      </c>
    </row>
    <row r="5">
      <c r="A5" s="21" t="s">
        <v>18</v>
      </c>
      <c r="B5" s="21">
        <v>180.0</v>
      </c>
    </row>
    <row r="6">
      <c r="A6" s="21" t="s">
        <v>19</v>
      </c>
      <c r="B6" s="21">
        <v>310.0</v>
      </c>
    </row>
    <row r="7">
      <c r="A7" s="21" t="s">
        <v>20</v>
      </c>
      <c r="B7" s="21">
        <v>218.0</v>
      </c>
    </row>
    <row r="8">
      <c r="A8" s="21" t="s">
        <v>21</v>
      </c>
      <c r="B8" s="21">
        <v>110.0</v>
      </c>
    </row>
    <row r="9">
      <c r="A9" s="21" t="s">
        <v>22</v>
      </c>
      <c r="B9" s="21">
        <v>86.0</v>
      </c>
    </row>
    <row r="10">
      <c r="A10" s="21" t="s">
        <v>23</v>
      </c>
      <c r="B10" s="21">
        <v>102.0</v>
      </c>
    </row>
    <row r="36">
      <c r="N36"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sheetData>
    <row r="1">
      <c r="A1" s="17" t="s">
        <v>24</v>
      </c>
      <c r="B1" s="18"/>
      <c r="C1" s="18"/>
      <c r="D1" s="18"/>
      <c r="E1" s="18"/>
      <c r="F1" s="18"/>
    </row>
    <row r="2">
      <c r="A2" s="21" t="s">
        <v>25</v>
      </c>
    </row>
    <row r="3">
      <c r="A3" s="22"/>
      <c r="B3" s="22"/>
      <c r="C3" s="22"/>
    </row>
    <row r="4">
      <c r="A4" s="19" t="s">
        <v>26</v>
      </c>
      <c r="B4" s="19" t="s">
        <v>27</v>
      </c>
      <c r="C4" s="19" t="s">
        <v>28</v>
      </c>
    </row>
    <row r="5">
      <c r="A5" s="21" t="s">
        <v>29</v>
      </c>
      <c r="B5" s="21" t="s">
        <v>30</v>
      </c>
      <c r="C5" s="23">
        <v>25709.0</v>
      </c>
    </row>
    <row r="6">
      <c r="A6" s="21" t="s">
        <v>31</v>
      </c>
      <c r="B6" s="21" t="s">
        <v>32</v>
      </c>
      <c r="C6" s="23">
        <v>25600.0</v>
      </c>
    </row>
    <row r="7">
      <c r="A7" s="21" t="s">
        <v>33</v>
      </c>
      <c r="B7" s="21" t="s">
        <v>34</v>
      </c>
      <c r="C7" s="23">
        <v>23500.0</v>
      </c>
    </row>
    <row r="8">
      <c r="A8" s="21" t="s">
        <v>29</v>
      </c>
      <c r="B8" s="21" t="s">
        <v>35</v>
      </c>
      <c r="C8" s="23">
        <v>26500.0</v>
      </c>
    </row>
    <row r="9">
      <c r="A9" s="21" t="s">
        <v>36</v>
      </c>
      <c r="B9" s="21" t="s">
        <v>37</v>
      </c>
      <c r="C9" s="23">
        <v>24700.0</v>
      </c>
    </row>
    <row r="10">
      <c r="A10" s="21" t="s">
        <v>33</v>
      </c>
      <c r="B10" s="21" t="s">
        <v>38</v>
      </c>
      <c r="C10" s="23">
        <v>26500.0</v>
      </c>
    </row>
    <row r="11">
      <c r="A11" s="21" t="s">
        <v>31</v>
      </c>
      <c r="B11" s="21" t="s">
        <v>39</v>
      </c>
      <c r="C11" s="23">
        <v>30600.0</v>
      </c>
    </row>
    <row r="12">
      <c r="A12" s="21" t="s">
        <v>33</v>
      </c>
      <c r="B12" s="21" t="s">
        <v>40</v>
      </c>
      <c r="C12" s="23">
        <v>28400.0</v>
      </c>
    </row>
    <row r="13">
      <c r="A13" s="21" t="s">
        <v>29</v>
      </c>
      <c r="B13" s="21" t="s">
        <v>41</v>
      </c>
      <c r="C13" s="23">
        <v>32800.0</v>
      </c>
    </row>
    <row r="14">
      <c r="A14" s="21" t="s">
        <v>29</v>
      </c>
      <c r="B14" s="21" t="s">
        <v>42</v>
      </c>
      <c r="C14" s="23">
        <v>25900.0</v>
      </c>
    </row>
    <row r="15">
      <c r="A15" s="21" t="s">
        <v>36</v>
      </c>
      <c r="B15" s="21" t="s">
        <v>43</v>
      </c>
      <c r="C15" s="23">
        <v>26900.0</v>
      </c>
    </row>
    <row r="16">
      <c r="A16" s="21" t="s">
        <v>36</v>
      </c>
      <c r="B16" s="21" t="s">
        <v>44</v>
      </c>
      <c r="C16" s="23">
        <v>47200.0</v>
      </c>
    </row>
    <row r="17">
      <c r="A17" s="21" t="s">
        <v>36</v>
      </c>
      <c r="B17" s="21" t="s">
        <v>45</v>
      </c>
      <c r="C17" s="23">
        <v>29800.0</v>
      </c>
    </row>
    <row r="18">
      <c r="A18" s="21" t="s">
        <v>31</v>
      </c>
      <c r="B18" s="21" t="s">
        <v>46</v>
      </c>
      <c r="C18" s="23">
        <v>31200.0</v>
      </c>
    </row>
    <row r="19">
      <c r="A19" s="21" t="s">
        <v>31</v>
      </c>
      <c r="B19" s="21" t="s">
        <v>47</v>
      </c>
      <c r="C19" s="23">
        <v>49500.0</v>
      </c>
    </row>
    <row r="20">
      <c r="A20" s="21" t="s">
        <v>31</v>
      </c>
      <c r="B20" s="21" t="s">
        <v>48</v>
      </c>
      <c r="C20" s="23">
        <v>58300.0</v>
      </c>
    </row>
    <row r="21">
      <c r="A21" s="21" t="s">
        <v>31</v>
      </c>
      <c r="B21" s="21" t="s">
        <v>49</v>
      </c>
      <c r="C21" s="23">
        <v>36400.0</v>
      </c>
    </row>
    <row r="22">
      <c r="A22" s="21" t="s">
        <v>29</v>
      </c>
      <c r="B22" s="21" t="s">
        <v>50</v>
      </c>
      <c r="C22" s="23">
        <v>38500.0</v>
      </c>
    </row>
    <row r="23">
      <c r="A23" s="21" t="s">
        <v>29</v>
      </c>
      <c r="B23" s="21" t="s">
        <v>51</v>
      </c>
      <c r="C23" s="23">
        <v>39400.0</v>
      </c>
    </row>
    <row r="24">
      <c r="A24" s="21" t="s">
        <v>29</v>
      </c>
      <c r="B24" s="21" t="s">
        <v>52</v>
      </c>
      <c r="C24" s="23">
        <v>42500.0</v>
      </c>
    </row>
    <row r="25">
      <c r="A25" s="21" t="s">
        <v>36</v>
      </c>
      <c r="B25" s="21" t="s">
        <v>53</v>
      </c>
      <c r="C25" s="23">
        <v>49727.0</v>
      </c>
    </row>
    <row r="26">
      <c r="A26" s="21" t="s">
        <v>36</v>
      </c>
      <c r="B26" s="21" t="s">
        <v>54</v>
      </c>
      <c r="C26" s="23">
        <v>49000.0</v>
      </c>
    </row>
    <row r="27">
      <c r="A27" s="21" t="s">
        <v>31</v>
      </c>
      <c r="B27" s="21" t="s">
        <v>55</v>
      </c>
      <c r="C27" s="23">
        <v>79600.0</v>
      </c>
    </row>
    <row r="28">
      <c r="A28" s="21" t="s">
        <v>31</v>
      </c>
      <c r="B28" s="21" t="s">
        <v>56</v>
      </c>
      <c r="C28" s="23">
        <v>56500.0</v>
      </c>
    </row>
    <row r="29">
      <c r="A29" s="21" t="s">
        <v>33</v>
      </c>
      <c r="B29" s="21" t="s">
        <v>57</v>
      </c>
      <c r="C29" s="23">
        <v>59900.0</v>
      </c>
    </row>
    <row r="30">
      <c r="A30" s="21" t="s">
        <v>33</v>
      </c>
      <c r="B30" s="21" t="s">
        <v>58</v>
      </c>
      <c r="C30" s="23">
        <v>48500.0</v>
      </c>
    </row>
    <row r="31">
      <c r="A31" s="21" t="s">
        <v>29</v>
      </c>
      <c r="B31" s="21" t="s">
        <v>59</v>
      </c>
      <c r="C31" s="23">
        <v>41200.0</v>
      </c>
    </row>
    <row r="32">
      <c r="A32" s="21" t="s">
        <v>29</v>
      </c>
      <c r="B32" s="21" t="s">
        <v>60</v>
      </c>
      <c r="C32" s="23">
        <v>52100.0</v>
      </c>
    </row>
    <row r="33">
      <c r="A33" s="21" t="s">
        <v>33</v>
      </c>
      <c r="B33" s="21" t="s">
        <v>61</v>
      </c>
      <c r="C33" s="23">
        <v>65200.0</v>
      </c>
    </row>
    <row r="34">
      <c r="A34" s="21" t="s">
        <v>33</v>
      </c>
      <c r="B34" s="21" t="s">
        <v>62</v>
      </c>
      <c r="C34" s="23">
        <v>54600.0</v>
      </c>
    </row>
    <row r="35">
      <c r="A35" s="21" t="s">
        <v>33</v>
      </c>
      <c r="B35" s="21" t="s">
        <v>63</v>
      </c>
      <c r="C35" s="23">
        <v>51300.0</v>
      </c>
    </row>
    <row r="36">
      <c r="A36" s="21" t="s">
        <v>33</v>
      </c>
      <c r="B36" s="21" t="s">
        <v>64</v>
      </c>
      <c r="C36" s="23">
        <v>102500.0</v>
      </c>
    </row>
    <row r="37">
      <c r="A37" s="21" t="s">
        <v>36</v>
      </c>
      <c r="B37" s="21" t="s">
        <v>65</v>
      </c>
      <c r="C37" s="23">
        <v>65270.0</v>
      </c>
    </row>
    <row r="38">
      <c r="A38" s="21" t="s">
        <v>36</v>
      </c>
      <c r="B38" s="21" t="s">
        <v>66</v>
      </c>
      <c r="C38" s="23">
        <v>78600.0</v>
      </c>
      <c r="J38" s="8"/>
    </row>
    <row r="39">
      <c r="A39" s="21" t="s">
        <v>36</v>
      </c>
      <c r="B39" s="21" t="s">
        <v>67</v>
      </c>
      <c r="C39" s="23">
        <v>145000.0</v>
      </c>
    </row>
    <row r="40">
      <c r="A40" s="21" t="s">
        <v>33</v>
      </c>
      <c r="B40" s="21" t="s">
        <v>68</v>
      </c>
      <c r="C40" s="23">
        <v>86055.0</v>
      </c>
    </row>
    <row r="41">
      <c r="A41" s="21" t="s">
        <v>29</v>
      </c>
      <c r="B41" s="21" t="s">
        <v>69</v>
      </c>
      <c r="C41" s="23">
        <v>125600.0</v>
      </c>
    </row>
    <row r="42">
      <c r="A42" s="21" t="s">
        <v>36</v>
      </c>
      <c r="B42" s="21" t="s">
        <v>70</v>
      </c>
      <c r="C42" s="23">
        <v>86500.0</v>
      </c>
    </row>
    <row r="43">
      <c r="A43" s="21" t="s">
        <v>36</v>
      </c>
      <c r="B43" s="21" t="s">
        <v>71</v>
      </c>
      <c r="C43" s="23">
        <v>108357.0</v>
      </c>
    </row>
    <row r="44">
      <c r="A44" s="21" t="s">
        <v>29</v>
      </c>
      <c r="B44" s="21" t="s">
        <v>72</v>
      </c>
      <c r="C44" s="23">
        <v>115000.0</v>
      </c>
    </row>
    <row r="45">
      <c r="A45" s="21" t="s">
        <v>33</v>
      </c>
      <c r="B45" s="21" t="s">
        <v>73</v>
      </c>
      <c r="C45" s="23">
        <v>142000.0</v>
      </c>
    </row>
    <row r="46">
      <c r="A46" s="21" t="s">
        <v>29</v>
      </c>
      <c r="B46" s="21" t="s">
        <v>74</v>
      </c>
      <c r="C46" s="23">
        <v>141200.0</v>
      </c>
    </row>
    <row r="47">
      <c r="C47" s="23"/>
    </row>
    <row r="48">
      <c r="C48"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cols>
    <col customWidth="1" min="1" max="1" width="18.13"/>
    <col customWidth="1" min="2" max="2" width="7.13"/>
    <col customWidth="1" min="3" max="3" width="6.25"/>
    <col customWidth="1" min="5" max="5" width="27.13"/>
  </cols>
  <sheetData>
    <row r="1">
      <c r="A1" s="17" t="s">
        <v>75</v>
      </c>
      <c r="B1" s="18"/>
      <c r="C1" s="18"/>
      <c r="D1" s="18"/>
      <c r="E1" s="18"/>
      <c r="F1" s="18"/>
    </row>
    <row r="2">
      <c r="A2" s="7" t="s">
        <v>76</v>
      </c>
    </row>
    <row r="3">
      <c r="B3" s="21"/>
    </row>
    <row r="4">
      <c r="B4" s="24" t="s">
        <v>77</v>
      </c>
    </row>
    <row r="5">
      <c r="B5" s="19" t="s">
        <v>78</v>
      </c>
      <c r="C5" s="19" t="s">
        <v>79</v>
      </c>
    </row>
    <row r="6">
      <c r="A6" s="25" t="s">
        <v>80</v>
      </c>
      <c r="B6" s="25">
        <v>2402.0</v>
      </c>
      <c r="C6" s="21">
        <v>2500.0</v>
      </c>
    </row>
    <row r="7">
      <c r="A7" s="25" t="s">
        <v>81</v>
      </c>
      <c r="B7" s="25">
        <v>5880.0</v>
      </c>
      <c r="C7" s="21">
        <v>5100.0</v>
      </c>
    </row>
    <row r="8">
      <c r="A8" s="25" t="s">
        <v>82</v>
      </c>
      <c r="B8" s="25">
        <v>2938.0</v>
      </c>
      <c r="C8" s="21">
        <v>3200.0</v>
      </c>
    </row>
    <row r="9">
      <c r="A9" s="25" t="s">
        <v>83</v>
      </c>
      <c r="B9" s="25">
        <v>4298.0</v>
      </c>
      <c r="C9" s="21">
        <v>4300.0</v>
      </c>
    </row>
    <row r="10">
      <c r="A10" s="25" t="s">
        <v>84</v>
      </c>
      <c r="B10" s="25">
        <v>2503.0</v>
      </c>
      <c r="C10" s="21">
        <v>2000.0</v>
      </c>
    </row>
    <row r="11">
      <c r="A11" s="25" t="s">
        <v>85</v>
      </c>
      <c r="B11" s="25">
        <v>1174.0</v>
      </c>
      <c r="C11" s="21">
        <v>1010.0</v>
      </c>
    </row>
    <row r="12">
      <c r="A12" s="25" t="s">
        <v>86</v>
      </c>
      <c r="B12" s="25">
        <v>1794.0</v>
      </c>
      <c r="C12" s="21">
        <v>1950.0</v>
      </c>
    </row>
    <row r="13">
      <c r="A13" s="25" t="s">
        <v>87</v>
      </c>
      <c r="B13" s="25">
        <v>1963.0</v>
      </c>
      <c r="C13" s="21">
        <v>2500.0</v>
      </c>
    </row>
    <row r="14">
      <c r="A14" s="25" t="s">
        <v>88</v>
      </c>
      <c r="B14" s="25">
        <v>2661.0</v>
      </c>
      <c r="C14" s="21">
        <v>2500.0</v>
      </c>
    </row>
  </sheetData>
  <mergeCells count="1">
    <mergeCell ref="B4:C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heetPr>
  <sheetViews>
    <sheetView showGridLines="0" workbookViewId="0"/>
  </sheetViews>
  <sheetFormatPr customHeight="1" defaultColWidth="12.63" defaultRowHeight="15.75"/>
  <cols>
    <col customWidth="1" min="1" max="1" width="10.38"/>
    <col customWidth="1" min="2" max="2" width="8.25"/>
    <col customWidth="1" min="3" max="4" width="10.38"/>
    <col customWidth="1" min="12" max="12" width="3.63"/>
    <col customWidth="1" min="13" max="14" width="2.38"/>
  </cols>
  <sheetData>
    <row r="1">
      <c r="A1" s="17" t="s">
        <v>89</v>
      </c>
      <c r="B1" s="18"/>
      <c r="C1" s="18"/>
      <c r="D1" s="18"/>
      <c r="E1" s="18"/>
      <c r="F1" s="18"/>
      <c r="L1" s="26" t="s">
        <v>90</v>
      </c>
    </row>
    <row r="2">
      <c r="A2" s="21" t="s">
        <v>91</v>
      </c>
      <c r="L2" s="27" t="s">
        <v>92</v>
      </c>
    </row>
    <row r="3">
      <c r="A3" s="22"/>
      <c r="B3" s="22"/>
      <c r="C3" s="22"/>
      <c r="D3" s="22"/>
      <c r="G3" s="21"/>
      <c r="H3" s="21"/>
    </row>
    <row r="4">
      <c r="A4" s="19" t="s">
        <v>93</v>
      </c>
      <c r="B4" s="19" t="s">
        <v>94</v>
      </c>
      <c r="C4" s="19" t="s">
        <v>95</v>
      </c>
      <c r="D4" s="19" t="s">
        <v>96</v>
      </c>
    </row>
    <row r="5">
      <c r="A5" s="28" t="s">
        <v>97</v>
      </c>
      <c r="B5" s="28" t="s">
        <v>98</v>
      </c>
      <c r="C5" s="29">
        <v>7183.0</v>
      </c>
      <c r="D5" s="29">
        <v>8098.0</v>
      </c>
      <c r="F5" s="30" t="s">
        <v>99</v>
      </c>
      <c r="G5" s="31">
        <f>sum(C5:C60)/sum(D5:D60)</f>
        <v>0.9528235207</v>
      </c>
      <c r="I5" s="32"/>
      <c r="O5" s="33" t="str">
        <f t="array" ref="O5:O7">UNIQUE(A5:A44)</f>
        <v>Game</v>
      </c>
      <c r="P5" s="34">
        <f t="shared" ref="P5:P7" si="1">sumifs($C$5:$C$44,$A$5:$A$44,O5)/sumifs($D$5:$D$44,$A$5:$A$44,O5)</f>
        <v>1.05538174</v>
      </c>
      <c r="R5" s="32"/>
    </row>
    <row r="6">
      <c r="A6" s="35" t="s">
        <v>100</v>
      </c>
      <c r="B6" s="35" t="s">
        <v>101</v>
      </c>
      <c r="C6" s="36">
        <v>4326.0</v>
      </c>
      <c r="D6" s="36">
        <v>4321.0</v>
      </c>
      <c r="I6" s="32"/>
      <c r="O6" s="33" t="s">
        <v>100</v>
      </c>
      <c r="P6" s="34">
        <f t="shared" si="1"/>
        <v>0.9472689504</v>
      </c>
      <c r="R6" s="32"/>
    </row>
    <row r="7">
      <c r="A7" s="35" t="s">
        <v>102</v>
      </c>
      <c r="B7" s="35" t="s">
        <v>103</v>
      </c>
      <c r="C7" s="36">
        <v>6289.0</v>
      </c>
      <c r="D7" s="36">
        <v>9800.0</v>
      </c>
      <c r="I7" s="32"/>
      <c r="O7" s="33" t="s">
        <v>102</v>
      </c>
      <c r="P7" s="34">
        <f t="shared" si="1"/>
        <v>0.8305394856</v>
      </c>
      <c r="R7" s="32"/>
    </row>
    <row r="8">
      <c r="A8" s="35" t="s">
        <v>100</v>
      </c>
      <c r="B8" s="35" t="s">
        <v>104</v>
      </c>
      <c r="C8" s="36">
        <v>4782.0</v>
      </c>
      <c r="D8" s="36">
        <v>4303.0</v>
      </c>
    </row>
    <row r="9">
      <c r="A9" s="35" t="s">
        <v>102</v>
      </c>
      <c r="B9" s="35" t="s">
        <v>105</v>
      </c>
      <c r="C9" s="36">
        <v>9034.0</v>
      </c>
      <c r="D9" s="36">
        <v>10500.0</v>
      </c>
    </row>
    <row r="10">
      <c r="A10" s="35" t="s">
        <v>100</v>
      </c>
      <c r="B10" s="35" t="s">
        <v>106</v>
      </c>
      <c r="C10" s="36">
        <v>20819.0</v>
      </c>
      <c r="D10" s="36">
        <v>25000.0</v>
      </c>
      <c r="L10" s="37"/>
    </row>
    <row r="11">
      <c r="A11" s="35" t="s">
        <v>102</v>
      </c>
      <c r="B11" s="35" t="s">
        <v>107</v>
      </c>
      <c r="C11" s="36">
        <v>12512.0</v>
      </c>
      <c r="D11" s="36">
        <v>11222.0</v>
      </c>
      <c r="L11" s="37"/>
    </row>
    <row r="12">
      <c r="A12" s="35" t="s">
        <v>100</v>
      </c>
      <c r="B12" s="35" t="s">
        <v>108</v>
      </c>
      <c r="C12" s="36">
        <v>5237.0</v>
      </c>
      <c r="D12" s="36">
        <v>4494.0</v>
      </c>
      <c r="L12" s="37"/>
    </row>
    <row r="13">
      <c r="A13" s="35" t="s">
        <v>97</v>
      </c>
      <c r="B13" s="35" t="s">
        <v>109</v>
      </c>
      <c r="C13" s="36">
        <v>30075.0</v>
      </c>
      <c r="D13" s="36">
        <v>27081.0</v>
      </c>
      <c r="L13" s="37"/>
    </row>
    <row r="14">
      <c r="A14" s="35" t="s">
        <v>102</v>
      </c>
      <c r="B14" s="35" t="s">
        <v>110</v>
      </c>
      <c r="C14" s="36">
        <v>23516.0</v>
      </c>
      <c r="D14" s="36">
        <v>25834.0</v>
      </c>
      <c r="L14" s="37"/>
    </row>
    <row r="15">
      <c r="A15" s="35" t="s">
        <v>97</v>
      </c>
      <c r="B15" s="35" t="s">
        <v>111</v>
      </c>
      <c r="C15" s="36">
        <v>7337.0</v>
      </c>
      <c r="D15" s="36">
        <v>7284.0</v>
      </c>
      <c r="L15" s="37"/>
    </row>
    <row r="16">
      <c r="A16" s="35" t="s">
        <v>97</v>
      </c>
      <c r="B16" s="35" t="s">
        <v>112</v>
      </c>
      <c r="C16" s="36">
        <v>24411.0</v>
      </c>
      <c r="D16" s="36">
        <v>26206.0</v>
      </c>
      <c r="L16" s="37"/>
    </row>
    <row r="17">
      <c r="A17" s="35" t="s">
        <v>102</v>
      </c>
      <c r="B17" s="35" t="s">
        <v>113</v>
      </c>
      <c r="C17" s="36">
        <v>10008.0</v>
      </c>
      <c r="D17" s="36">
        <v>9460.0</v>
      </c>
      <c r="L17" s="37"/>
    </row>
    <row r="18">
      <c r="A18" s="35" t="s">
        <v>97</v>
      </c>
      <c r="B18" s="35" t="s">
        <v>114</v>
      </c>
      <c r="C18" s="36">
        <v>27347.0</v>
      </c>
      <c r="D18" s="36">
        <v>26376.0</v>
      </c>
      <c r="L18" s="37"/>
    </row>
    <row r="19">
      <c r="A19" s="35" t="s">
        <v>102</v>
      </c>
      <c r="B19" s="35" t="s">
        <v>115</v>
      </c>
      <c r="C19" s="36">
        <v>1663.0</v>
      </c>
      <c r="D19" s="36">
        <v>5500.0</v>
      </c>
      <c r="L19" s="37"/>
    </row>
    <row r="20">
      <c r="A20" s="35" t="s">
        <v>102</v>
      </c>
      <c r="B20" s="35" t="s">
        <v>116</v>
      </c>
      <c r="C20" s="36">
        <v>13943.0</v>
      </c>
      <c r="D20" s="36">
        <v>12798.0</v>
      </c>
    </row>
    <row r="21">
      <c r="A21" s="35" t="s">
        <v>100</v>
      </c>
      <c r="B21" s="35" t="s">
        <v>117</v>
      </c>
      <c r="C21" s="36">
        <v>3839.0</v>
      </c>
      <c r="D21" s="36">
        <v>4133.0</v>
      </c>
    </row>
    <row r="22">
      <c r="A22" s="35" t="s">
        <v>100</v>
      </c>
      <c r="B22" s="35" t="s">
        <v>118</v>
      </c>
      <c r="C22" s="36">
        <v>16070.0</v>
      </c>
      <c r="D22" s="36">
        <v>17049.0</v>
      </c>
    </row>
    <row r="23">
      <c r="A23" s="35" t="s">
        <v>97</v>
      </c>
      <c r="B23" s="35" t="s">
        <v>119</v>
      </c>
      <c r="C23" s="36">
        <v>14704.0</v>
      </c>
      <c r="D23" s="36">
        <v>15311.0</v>
      </c>
    </row>
    <row r="24">
      <c r="A24" s="35" t="s">
        <v>102</v>
      </c>
      <c r="B24" s="35" t="s">
        <v>120</v>
      </c>
      <c r="C24" s="36">
        <v>14743.0</v>
      </c>
      <c r="D24" s="36">
        <v>18000.0</v>
      </c>
    </row>
    <row r="25">
      <c r="A25" s="35" t="s">
        <v>100</v>
      </c>
      <c r="B25" s="35" t="s">
        <v>121</v>
      </c>
      <c r="C25" s="36">
        <v>11678.0</v>
      </c>
      <c r="D25" s="36">
        <v>13043.0</v>
      </c>
    </row>
    <row r="26">
      <c r="A26" s="35" t="s">
        <v>97</v>
      </c>
      <c r="B26" s="35" t="s">
        <v>122</v>
      </c>
      <c r="C26" s="36">
        <v>16015.0</v>
      </c>
      <c r="D26" s="36">
        <v>16713.0</v>
      </c>
    </row>
    <row r="27">
      <c r="A27" s="35" t="s">
        <v>97</v>
      </c>
      <c r="B27" s="35" t="s">
        <v>123</v>
      </c>
      <c r="C27" s="36">
        <v>18199.0</v>
      </c>
      <c r="D27" s="36">
        <v>19390.0</v>
      </c>
    </row>
    <row r="28">
      <c r="A28" s="35" t="s">
        <v>100</v>
      </c>
      <c r="B28" s="35" t="s">
        <v>124</v>
      </c>
      <c r="C28" s="36">
        <v>3953.0</v>
      </c>
      <c r="D28" s="36">
        <v>4636.0</v>
      </c>
    </row>
    <row r="29">
      <c r="A29" s="35" t="s">
        <v>100</v>
      </c>
      <c r="B29" s="35" t="s">
        <v>125</v>
      </c>
      <c r="C29" s="36">
        <v>13434.0</v>
      </c>
      <c r="D29" s="36">
        <v>13712.0</v>
      </c>
    </row>
    <row r="30">
      <c r="A30" s="35" t="s">
        <v>100</v>
      </c>
      <c r="B30" s="35" t="s">
        <v>126</v>
      </c>
      <c r="C30" s="36">
        <v>12052.0</v>
      </c>
      <c r="D30" s="36">
        <v>12550.0</v>
      </c>
    </row>
    <row r="31">
      <c r="A31" s="35" t="s">
        <v>102</v>
      </c>
      <c r="B31" s="35" t="s">
        <v>127</v>
      </c>
      <c r="C31" s="36">
        <v>3306.0</v>
      </c>
      <c r="D31" s="36">
        <v>5800.0</v>
      </c>
    </row>
    <row r="32">
      <c r="A32" s="35" t="s">
        <v>97</v>
      </c>
      <c r="B32" s="35" t="s">
        <v>128</v>
      </c>
      <c r="C32" s="36">
        <v>40004.0</v>
      </c>
      <c r="D32" s="36">
        <v>30000.0</v>
      </c>
    </row>
    <row r="33">
      <c r="A33" s="35" t="s">
        <v>102</v>
      </c>
      <c r="B33" s="35" t="s">
        <v>129</v>
      </c>
      <c r="C33" s="36">
        <v>3958.0</v>
      </c>
      <c r="D33" s="36">
        <v>8900.0</v>
      </c>
    </row>
    <row r="34">
      <c r="A34" s="35" t="s">
        <v>97</v>
      </c>
      <c r="B34" s="35" t="s">
        <v>130</v>
      </c>
      <c r="C34" s="36">
        <v>6239.0</v>
      </c>
      <c r="D34" s="36">
        <v>6321.0</v>
      </c>
    </row>
    <row r="35">
      <c r="A35" s="35" t="s">
        <v>100</v>
      </c>
      <c r="B35" s="35" t="s">
        <v>131</v>
      </c>
      <c r="C35" s="36">
        <v>37376.0</v>
      </c>
      <c r="D35" s="36">
        <v>40445.0</v>
      </c>
    </row>
    <row r="36">
      <c r="A36" s="35" t="s">
        <v>100</v>
      </c>
      <c r="B36" s="35" t="s">
        <v>132</v>
      </c>
      <c r="C36" s="36">
        <v>15175.0</v>
      </c>
      <c r="D36" s="36">
        <v>15962.0</v>
      </c>
    </row>
    <row r="37">
      <c r="A37" s="35" t="s">
        <v>97</v>
      </c>
      <c r="B37" s="35" t="s">
        <v>133</v>
      </c>
      <c r="C37" s="36">
        <v>32710.0</v>
      </c>
      <c r="D37" s="36">
        <v>29800.0</v>
      </c>
    </row>
    <row r="38">
      <c r="A38" s="35" t="s">
        <v>97</v>
      </c>
      <c r="B38" s="35" t="s">
        <v>134</v>
      </c>
      <c r="C38" s="36">
        <v>2796.0</v>
      </c>
      <c r="D38" s="36">
        <v>2527.0</v>
      </c>
    </row>
    <row r="39">
      <c r="A39" s="35" t="s">
        <v>100</v>
      </c>
      <c r="B39" s="35" t="s">
        <v>135</v>
      </c>
      <c r="C39" s="36">
        <v>2358.0</v>
      </c>
      <c r="D39" s="36">
        <v>2416.0</v>
      </c>
    </row>
    <row r="40">
      <c r="A40" s="35" t="s">
        <v>102</v>
      </c>
      <c r="B40" s="35" t="s">
        <v>136</v>
      </c>
      <c r="C40" s="36">
        <v>12017.0</v>
      </c>
      <c r="D40" s="36">
        <v>19000.0</v>
      </c>
    </row>
    <row r="41">
      <c r="A41" s="35" t="s">
        <v>102</v>
      </c>
      <c r="B41" s="35" t="s">
        <v>137</v>
      </c>
      <c r="C41" s="36">
        <v>18681.0</v>
      </c>
      <c r="D41" s="36">
        <v>19600.0</v>
      </c>
    </row>
    <row r="42">
      <c r="A42" s="35" t="s">
        <v>100</v>
      </c>
      <c r="B42" s="35" t="s">
        <v>138</v>
      </c>
      <c r="C42" s="36">
        <v>5692.0</v>
      </c>
      <c r="D42" s="36">
        <v>5501.0</v>
      </c>
    </row>
    <row r="43">
      <c r="A43" s="35" t="s">
        <v>100</v>
      </c>
      <c r="B43" s="35" t="s">
        <v>139</v>
      </c>
      <c r="C43" s="36">
        <v>15126.0</v>
      </c>
      <c r="D43" s="36">
        <v>13922.0</v>
      </c>
    </row>
    <row r="44">
      <c r="A44" s="35" t="s">
        <v>102</v>
      </c>
      <c r="B44" s="35" t="s">
        <v>140</v>
      </c>
      <c r="C44" s="36">
        <v>13319.0</v>
      </c>
      <c r="D44" s="36">
        <v>15750.0</v>
      </c>
    </row>
  </sheetData>
  <customSheetViews>
    <customSheetView guid="{9506E1D5-2641-4675-8F5D-7D3F42B762CA}" filter="1" showAutoFilter="1">
      <autoFilter ref="$A$4:$C$45">
        <filterColumn colId="0">
          <filters>
            <filter val="Productivity"/>
            <filter val="Utility"/>
            <filter val="Game"/>
          </filters>
        </filterColumn>
      </autoFilter>
    </customSheetView>
  </customSheetViews>
  <mergeCells count="1">
    <mergeCell ref="L2:L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38"/>
    <col customWidth="1" min="3" max="3" width="9.75"/>
  </cols>
  <sheetData>
    <row r="1">
      <c r="A1" s="17" t="s">
        <v>141</v>
      </c>
      <c r="B1" s="18"/>
      <c r="C1" s="18"/>
      <c r="D1" s="18"/>
      <c r="E1" s="18"/>
    </row>
    <row r="3">
      <c r="A3" s="19" t="s">
        <v>26</v>
      </c>
      <c r="B3" s="19" t="s">
        <v>27</v>
      </c>
      <c r="C3" s="19" t="s">
        <v>28</v>
      </c>
    </row>
    <row r="4">
      <c r="A4" s="28" t="s">
        <v>29</v>
      </c>
      <c r="B4" s="28" t="s">
        <v>30</v>
      </c>
      <c r="C4" s="29">
        <v>25709.0</v>
      </c>
    </row>
    <row r="5">
      <c r="A5" s="35" t="s">
        <v>31</v>
      </c>
      <c r="B5" s="35" t="s">
        <v>32</v>
      </c>
      <c r="C5" s="36">
        <v>25600.0</v>
      </c>
    </row>
    <row r="6">
      <c r="A6" s="35" t="s">
        <v>33</v>
      </c>
      <c r="B6" s="35" t="s">
        <v>34</v>
      </c>
      <c r="C6" s="36">
        <v>23500.0</v>
      </c>
    </row>
    <row r="7">
      <c r="A7" s="35" t="s">
        <v>29</v>
      </c>
      <c r="B7" s="35" t="s">
        <v>35</v>
      </c>
      <c r="C7" s="36">
        <v>26500.0</v>
      </c>
    </row>
    <row r="8">
      <c r="A8" s="35" t="s">
        <v>36</v>
      </c>
      <c r="B8" s="35" t="s">
        <v>37</v>
      </c>
      <c r="C8" s="36">
        <v>24700.0</v>
      </c>
    </row>
    <row r="9">
      <c r="A9" s="35" t="s">
        <v>33</v>
      </c>
      <c r="B9" s="35" t="s">
        <v>38</v>
      </c>
      <c r="C9" s="36">
        <v>26500.0</v>
      </c>
    </row>
    <row r="10">
      <c r="A10" s="35" t="s">
        <v>31</v>
      </c>
      <c r="B10" s="35" t="s">
        <v>39</v>
      </c>
      <c r="C10" s="36">
        <v>30600.0</v>
      </c>
    </row>
    <row r="11">
      <c r="A11" s="35" t="s">
        <v>33</v>
      </c>
      <c r="B11" s="35" t="s">
        <v>40</v>
      </c>
      <c r="C11" s="36">
        <v>28400.0</v>
      </c>
    </row>
    <row r="12">
      <c r="A12" s="35" t="s">
        <v>29</v>
      </c>
      <c r="B12" s="35" t="s">
        <v>41</v>
      </c>
      <c r="C12" s="36">
        <v>32800.0</v>
      </c>
    </row>
    <row r="13">
      <c r="A13" s="35" t="s">
        <v>29</v>
      </c>
      <c r="B13" s="35" t="s">
        <v>42</v>
      </c>
      <c r="C13" s="36">
        <v>25900.0</v>
      </c>
    </row>
    <row r="14">
      <c r="A14" s="35" t="s">
        <v>36</v>
      </c>
      <c r="B14" s="35" t="s">
        <v>43</v>
      </c>
      <c r="C14" s="36">
        <v>26900.0</v>
      </c>
    </row>
    <row r="15">
      <c r="A15" s="35" t="s">
        <v>36</v>
      </c>
      <c r="B15" s="35" t="s">
        <v>44</v>
      </c>
      <c r="C15" s="36">
        <v>47200.0</v>
      </c>
    </row>
    <row r="16">
      <c r="A16" s="35" t="s">
        <v>36</v>
      </c>
      <c r="B16" s="35" t="s">
        <v>45</v>
      </c>
      <c r="C16" s="36">
        <v>29800.0</v>
      </c>
    </row>
    <row r="17">
      <c r="A17" s="35" t="s">
        <v>31</v>
      </c>
      <c r="B17" s="35" t="s">
        <v>46</v>
      </c>
      <c r="C17" s="36">
        <v>31200.0</v>
      </c>
    </row>
    <row r="18">
      <c r="A18" s="35" t="s">
        <v>31</v>
      </c>
      <c r="B18" s="35" t="s">
        <v>47</v>
      </c>
      <c r="C18" s="36">
        <v>49500.0</v>
      </c>
    </row>
    <row r="19">
      <c r="A19" s="35" t="s">
        <v>31</v>
      </c>
      <c r="B19" s="35" t="s">
        <v>48</v>
      </c>
      <c r="C19" s="36">
        <v>58300.0</v>
      </c>
    </row>
    <row r="20">
      <c r="A20" s="35" t="s">
        <v>31</v>
      </c>
      <c r="B20" s="35" t="s">
        <v>49</v>
      </c>
      <c r="C20" s="36">
        <v>36400.0</v>
      </c>
    </row>
    <row r="21">
      <c r="A21" s="35" t="s">
        <v>29</v>
      </c>
      <c r="B21" s="35" t="s">
        <v>50</v>
      </c>
      <c r="C21" s="36">
        <v>38500.0</v>
      </c>
    </row>
    <row r="22">
      <c r="A22" s="35" t="s">
        <v>29</v>
      </c>
      <c r="B22" s="35" t="s">
        <v>51</v>
      </c>
      <c r="C22" s="36">
        <v>39400.0</v>
      </c>
    </row>
    <row r="23">
      <c r="A23" s="35" t="s">
        <v>29</v>
      </c>
      <c r="B23" s="35" t="s">
        <v>52</v>
      </c>
      <c r="C23" s="36">
        <v>42500.0</v>
      </c>
    </row>
    <row r="24">
      <c r="A24" s="35" t="s">
        <v>36</v>
      </c>
      <c r="B24" s="35" t="s">
        <v>53</v>
      </c>
      <c r="C24" s="36">
        <v>49727.0</v>
      </c>
    </row>
    <row r="25">
      <c r="A25" s="35" t="s">
        <v>36</v>
      </c>
      <c r="B25" s="35" t="s">
        <v>54</v>
      </c>
      <c r="C25" s="36">
        <v>49000.0</v>
      </c>
    </row>
    <row r="26">
      <c r="A26" s="35" t="s">
        <v>31</v>
      </c>
      <c r="B26" s="35" t="s">
        <v>55</v>
      </c>
      <c r="C26" s="36">
        <v>79600.0</v>
      </c>
    </row>
    <row r="27">
      <c r="A27" s="35" t="s">
        <v>31</v>
      </c>
      <c r="B27" s="35" t="s">
        <v>56</v>
      </c>
      <c r="C27" s="36">
        <v>56500.0</v>
      </c>
    </row>
    <row r="28">
      <c r="A28" s="35" t="s">
        <v>33</v>
      </c>
      <c r="B28" s="35" t="s">
        <v>57</v>
      </c>
      <c r="C28" s="36">
        <v>59900.0</v>
      </c>
    </row>
    <row r="29">
      <c r="A29" s="35" t="s">
        <v>33</v>
      </c>
      <c r="B29" s="35" t="s">
        <v>58</v>
      </c>
      <c r="C29" s="36">
        <v>48500.0</v>
      </c>
    </row>
    <row r="30">
      <c r="A30" s="35" t="s">
        <v>29</v>
      </c>
      <c r="B30" s="35" t="s">
        <v>59</v>
      </c>
      <c r="C30" s="36">
        <v>41200.0</v>
      </c>
    </row>
    <row r="31">
      <c r="A31" s="35" t="s">
        <v>29</v>
      </c>
      <c r="B31" s="35" t="s">
        <v>60</v>
      </c>
      <c r="C31" s="36">
        <v>52100.0</v>
      </c>
    </row>
    <row r="32">
      <c r="A32" s="35" t="s">
        <v>33</v>
      </c>
      <c r="B32" s="35" t="s">
        <v>61</v>
      </c>
      <c r="C32" s="36">
        <v>65200.0</v>
      </c>
    </row>
    <row r="33">
      <c r="A33" s="35" t="s">
        <v>33</v>
      </c>
      <c r="B33" s="35" t="s">
        <v>62</v>
      </c>
      <c r="C33" s="36">
        <v>54600.0</v>
      </c>
    </row>
    <row r="34">
      <c r="A34" s="35" t="s">
        <v>33</v>
      </c>
      <c r="B34" s="35" t="s">
        <v>63</v>
      </c>
      <c r="C34" s="36">
        <v>51300.0</v>
      </c>
    </row>
    <row r="35">
      <c r="A35" s="35" t="s">
        <v>33</v>
      </c>
      <c r="B35" s="35" t="s">
        <v>64</v>
      </c>
      <c r="C35" s="36">
        <v>102500.0</v>
      </c>
    </row>
    <row r="36">
      <c r="A36" s="35" t="s">
        <v>36</v>
      </c>
      <c r="B36" s="35" t="s">
        <v>65</v>
      </c>
      <c r="C36" s="36">
        <v>65270.0</v>
      </c>
    </row>
    <row r="37">
      <c r="A37" s="35" t="s">
        <v>36</v>
      </c>
      <c r="B37" s="35" t="s">
        <v>66</v>
      </c>
      <c r="C37" s="36">
        <v>78600.0</v>
      </c>
    </row>
    <row r="38">
      <c r="A38" s="35" t="s">
        <v>36</v>
      </c>
      <c r="B38" s="35" t="s">
        <v>67</v>
      </c>
      <c r="C38" s="36">
        <v>145000.0</v>
      </c>
    </row>
    <row r="39">
      <c r="A39" s="35" t="s">
        <v>33</v>
      </c>
      <c r="B39" s="35" t="s">
        <v>68</v>
      </c>
      <c r="C39" s="36">
        <v>86055.0</v>
      </c>
    </row>
    <row r="40">
      <c r="A40" s="35" t="s">
        <v>29</v>
      </c>
      <c r="B40" s="35" t="s">
        <v>69</v>
      </c>
      <c r="C40" s="36">
        <v>125600.0</v>
      </c>
    </row>
    <row r="41">
      <c r="A41" s="35" t="s">
        <v>36</v>
      </c>
      <c r="B41" s="35" t="s">
        <v>70</v>
      </c>
      <c r="C41" s="36">
        <v>86500.0</v>
      </c>
    </row>
    <row r="42">
      <c r="A42" s="35" t="s">
        <v>36</v>
      </c>
      <c r="B42" s="35" t="s">
        <v>71</v>
      </c>
      <c r="C42" s="36">
        <v>108357.0</v>
      </c>
    </row>
    <row r="43">
      <c r="A43" s="35" t="s">
        <v>29</v>
      </c>
      <c r="B43" s="35" t="s">
        <v>72</v>
      </c>
      <c r="C43" s="36">
        <v>115000.0</v>
      </c>
    </row>
    <row r="44">
      <c r="A44" s="35" t="s">
        <v>33</v>
      </c>
      <c r="B44" s="35" t="s">
        <v>73</v>
      </c>
      <c r="C44" s="36">
        <v>142000.0</v>
      </c>
    </row>
    <row r="45">
      <c r="A45" s="38" t="s">
        <v>29</v>
      </c>
      <c r="B45" s="38" t="s">
        <v>74</v>
      </c>
      <c r="C45" s="39">
        <v>141200.0</v>
      </c>
    </row>
  </sheetData>
  <customSheetViews>
    <customSheetView guid="{9506E1D5-2641-4675-8F5D-7D3F42B762CA}" filter="1" showAutoFilter="1">
      <autoFilter ref="$A$3:$C$45">
        <filterColumn colId="0">
          <filters>
            <filter val="Finance"/>
          </filters>
        </filterColumn>
      </autoFilter>
    </customSheetView>
  </customSheetView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sheetData>
    <row r="1">
      <c r="A1" s="17" t="s">
        <v>142</v>
      </c>
      <c r="B1" s="18"/>
      <c r="C1" s="18"/>
      <c r="D1" s="18"/>
      <c r="E1" s="18"/>
    </row>
  </sheetData>
  <drawing r:id="rId1"/>
  <extLst>
    <ext uri="{3A4CF648-6AED-40f4-86FF-DC5316D8AED3}">
      <x14:slicerList>
        <x14:slicer r:id="rId2"/>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2A846"/>
    <outlinePr summaryBelow="0"/>
  </sheetPr>
  <sheetViews>
    <sheetView showGridLines="0" workbookViewId="0"/>
  </sheetViews>
  <sheetFormatPr customHeight="1" defaultColWidth="12.63" defaultRowHeight="15.75" outlineLevelCol="1"/>
  <cols>
    <col customWidth="1" min="1" max="1" width="10.38"/>
    <col customWidth="1" min="2" max="2" width="14.5"/>
    <col customWidth="1" min="5" max="5" width="7.13"/>
    <col min="10" max="12" width="12.63" outlineLevel="1"/>
    <col customWidth="1" min="13" max="13" width="1.75"/>
    <col customWidth="1" min="14" max="14" width="6.13" outlineLevel="1"/>
    <col customWidth="1" min="15" max="15" width="15.0" outlineLevel="1"/>
    <col customWidth="1" min="16" max="16" width="16.13" outlineLevel="1"/>
    <col customWidth="1" min="17" max="17" width="1.75"/>
  </cols>
  <sheetData>
    <row r="1">
      <c r="A1" s="17" t="s">
        <v>143</v>
      </c>
      <c r="B1" s="18"/>
      <c r="C1" s="18"/>
      <c r="D1" s="18"/>
      <c r="E1" s="18"/>
      <c r="F1" s="18"/>
      <c r="G1" s="18"/>
      <c r="H1" s="18"/>
    </row>
    <row r="2">
      <c r="A2" s="21" t="s">
        <v>144</v>
      </c>
    </row>
    <row r="3">
      <c r="A3" s="21" t="s">
        <v>145</v>
      </c>
      <c r="I3" s="7"/>
      <c r="J3" s="40" t="s">
        <v>146</v>
      </c>
      <c r="K3" s="41"/>
      <c r="L3" s="41"/>
      <c r="M3" s="37"/>
      <c r="N3" s="42" t="s">
        <v>147</v>
      </c>
      <c r="O3" s="43"/>
      <c r="P3" s="43"/>
      <c r="Q3" s="37"/>
    </row>
    <row r="4">
      <c r="M4" s="37"/>
      <c r="O4" s="21" t="s">
        <v>148</v>
      </c>
      <c r="Q4" s="37"/>
    </row>
    <row r="5">
      <c r="B5" s="44" t="s">
        <v>33</v>
      </c>
      <c r="I5" s="7"/>
      <c r="J5" s="45" t="s">
        <v>26</v>
      </c>
      <c r="K5" s="45" t="s">
        <v>27</v>
      </c>
      <c r="L5" s="45" t="s">
        <v>28</v>
      </c>
      <c r="M5" s="37"/>
      <c r="O5" s="7" t="s">
        <v>27</v>
      </c>
      <c r="P5" s="7" t="s">
        <v>28</v>
      </c>
      <c r="Q5" s="37"/>
    </row>
    <row r="6">
      <c r="I6" s="21"/>
      <c r="J6" s="21" t="s">
        <v>29</v>
      </c>
      <c r="K6" s="21" t="s">
        <v>30</v>
      </c>
      <c r="L6" s="23">
        <v>25709.0</v>
      </c>
      <c r="M6" s="37"/>
      <c r="N6" s="21">
        <v>1.0</v>
      </c>
      <c r="O6" s="46" t="str">
        <f>IFERROR(__xludf.DUMMYFUNCTION("sortn(filter(K6:L1002,J6:J1002=B5),5,1,2,false)"),"Alex Collins")</f>
        <v>Alex Collins</v>
      </c>
      <c r="P6" s="47">
        <f>IFERROR(__xludf.DUMMYFUNCTION("""COMPUTED_VALUE"""),142000.0)</f>
        <v>142000</v>
      </c>
      <c r="Q6" s="37"/>
    </row>
    <row r="7">
      <c r="A7" s="48" t="s">
        <v>149</v>
      </c>
      <c r="B7" s="49"/>
      <c r="C7" s="49"/>
      <c r="D7" s="49"/>
      <c r="E7" s="49"/>
      <c r="F7" s="48" t="str">
        <f>"All Employees in "&amp;B5</f>
        <v>All Employees in Procurement</v>
      </c>
      <c r="G7" s="49"/>
      <c r="H7" s="49"/>
      <c r="I7" s="21"/>
      <c r="J7" s="21" t="s">
        <v>31</v>
      </c>
      <c r="K7" s="21" t="s">
        <v>32</v>
      </c>
      <c r="L7" s="23">
        <v>25600.0</v>
      </c>
      <c r="M7" s="37"/>
      <c r="N7" s="21">
        <v>2.0</v>
      </c>
      <c r="O7" s="25" t="str">
        <f>IFERROR(__xludf.DUMMYFUNCTION("""COMPUTED_VALUE"""),"Mike Saban")</f>
        <v>Mike Saban</v>
      </c>
      <c r="P7" s="47">
        <f>IFERROR(__xludf.DUMMYFUNCTION("""COMPUTED_VALUE"""),102500.0)</f>
        <v>102500</v>
      </c>
      <c r="Q7" s="37"/>
    </row>
    <row r="8">
      <c r="I8" s="21"/>
      <c r="J8" s="21" t="s">
        <v>33</v>
      </c>
      <c r="K8" s="21" t="s">
        <v>34</v>
      </c>
      <c r="L8" s="23">
        <v>23500.0</v>
      </c>
      <c r="M8" s="37"/>
      <c r="N8" s="21">
        <v>3.0</v>
      </c>
      <c r="O8" s="25" t="str">
        <f>IFERROR(__xludf.DUMMYFUNCTION("""COMPUTED_VALUE"""),"Corinna Schmidt")</f>
        <v>Corinna Schmidt</v>
      </c>
      <c r="P8" s="47">
        <f>IFERROR(__xludf.DUMMYFUNCTION("""COMPUTED_VALUE"""),86055.0)</f>
        <v>86055</v>
      </c>
      <c r="Q8" s="37"/>
    </row>
    <row r="9">
      <c r="I9" s="21"/>
      <c r="J9" s="21" t="s">
        <v>29</v>
      </c>
      <c r="K9" s="21" t="s">
        <v>35</v>
      </c>
      <c r="L9" s="23">
        <v>26500.0</v>
      </c>
      <c r="M9" s="37"/>
      <c r="N9" s="21">
        <v>4.0</v>
      </c>
      <c r="O9" s="25" t="str">
        <f>IFERROR(__xludf.DUMMYFUNCTION("""COMPUTED_VALUE"""),"Tom Wood")</f>
        <v>Tom Wood</v>
      </c>
      <c r="P9" s="47">
        <f>IFERROR(__xludf.DUMMYFUNCTION("""COMPUTED_VALUE"""),65200.0)</f>
        <v>65200</v>
      </c>
      <c r="Q9" s="37"/>
    </row>
    <row r="10">
      <c r="I10" s="21"/>
      <c r="J10" s="21" t="s">
        <v>36</v>
      </c>
      <c r="K10" s="21" t="s">
        <v>37</v>
      </c>
      <c r="L10" s="23">
        <v>24700.0</v>
      </c>
      <c r="M10" s="37"/>
      <c r="N10" s="21">
        <v>5.0</v>
      </c>
      <c r="O10" s="25" t="str">
        <f>IFERROR(__xludf.DUMMYFUNCTION("""COMPUTED_VALUE"""),"Matthew Ross")</f>
        <v>Matthew Ross</v>
      </c>
      <c r="P10" s="47">
        <f>IFERROR(__xludf.DUMMYFUNCTION("""COMPUTED_VALUE"""),59900.0)</f>
        <v>59900</v>
      </c>
      <c r="Q10" s="37"/>
    </row>
    <row r="11">
      <c r="I11" s="21"/>
      <c r="J11" s="21" t="s">
        <v>33</v>
      </c>
      <c r="K11" s="21" t="s">
        <v>38</v>
      </c>
      <c r="L11" s="23">
        <v>26500.0</v>
      </c>
      <c r="M11" s="37"/>
      <c r="Q11" s="37"/>
    </row>
    <row r="12">
      <c r="I12" s="21"/>
      <c r="J12" s="21" t="s">
        <v>31</v>
      </c>
      <c r="K12" s="21" t="s">
        <v>39</v>
      </c>
      <c r="L12" s="23">
        <v>30600.0</v>
      </c>
      <c r="M12" s="37"/>
      <c r="Q12" s="37"/>
    </row>
    <row r="13">
      <c r="I13" s="21"/>
      <c r="J13" s="21" t="s">
        <v>33</v>
      </c>
      <c r="K13" s="21" t="s">
        <v>40</v>
      </c>
      <c r="L13" s="23">
        <v>28400.0</v>
      </c>
      <c r="M13" s="37"/>
      <c r="O13" s="21" t="s">
        <v>150</v>
      </c>
      <c r="Q13" s="37"/>
    </row>
    <row r="14">
      <c r="I14" s="21"/>
      <c r="J14" s="21" t="s">
        <v>29</v>
      </c>
      <c r="K14" s="21" t="s">
        <v>41</v>
      </c>
      <c r="L14" s="23">
        <v>32800.0</v>
      </c>
      <c r="M14" s="37"/>
      <c r="O14" s="7" t="s">
        <v>27</v>
      </c>
      <c r="P14" s="7" t="s">
        <v>28</v>
      </c>
      <c r="Q14" s="37"/>
    </row>
    <row r="15">
      <c r="I15" s="21"/>
      <c r="J15" s="21" t="s">
        <v>29</v>
      </c>
      <c r="K15" s="21" t="s">
        <v>42</v>
      </c>
      <c r="L15" s="23">
        <v>25900.0</v>
      </c>
      <c r="M15" s="37"/>
      <c r="O15" s="46" t="str">
        <f>IFERROR(__xludf.DUMMYFUNCTION("filter(K6:L1002,J6:J1002=B5)"),"Ann Withers")</f>
        <v>Ann Withers</v>
      </c>
      <c r="P15" s="47">
        <f>IFERROR(__xludf.DUMMYFUNCTION("""COMPUTED_VALUE"""),23500.0)</f>
        <v>23500</v>
      </c>
      <c r="Q15" s="37"/>
    </row>
    <row r="16">
      <c r="I16" s="21"/>
      <c r="J16" s="21" t="s">
        <v>36</v>
      </c>
      <c r="K16" s="21" t="s">
        <v>43</v>
      </c>
      <c r="L16" s="23">
        <v>26900.0</v>
      </c>
      <c r="M16" s="37"/>
      <c r="O16" s="25" t="str">
        <f>IFERROR(__xludf.DUMMYFUNCTION("""COMPUTED_VALUE"""),"Robert Marquez")</f>
        <v>Robert Marquez</v>
      </c>
      <c r="P16" s="47">
        <f>IFERROR(__xludf.DUMMYFUNCTION("""COMPUTED_VALUE"""),26500.0)</f>
        <v>26500</v>
      </c>
      <c r="Q16" s="37"/>
    </row>
    <row r="17">
      <c r="I17" s="21"/>
      <c r="J17" s="21" t="s">
        <v>36</v>
      </c>
      <c r="K17" s="21" t="s">
        <v>44</v>
      </c>
      <c r="L17" s="23">
        <v>47200.0</v>
      </c>
      <c r="M17" s="37"/>
      <c r="O17" s="25" t="str">
        <f>IFERROR(__xludf.DUMMYFUNCTION("""COMPUTED_VALUE"""),"Robert Musser")</f>
        <v>Robert Musser</v>
      </c>
      <c r="P17" s="47">
        <f>IFERROR(__xludf.DUMMYFUNCTION("""COMPUTED_VALUE"""),28400.0)</f>
        <v>28400</v>
      </c>
      <c r="Q17" s="37"/>
    </row>
    <row r="18">
      <c r="I18" s="21"/>
      <c r="J18" s="21" t="s">
        <v>36</v>
      </c>
      <c r="K18" s="21" t="s">
        <v>45</v>
      </c>
      <c r="L18" s="23">
        <v>29800.0</v>
      </c>
      <c r="M18" s="37"/>
      <c r="O18" s="25" t="str">
        <f>IFERROR(__xludf.DUMMYFUNCTION("""COMPUTED_VALUE"""),"Matthew Ross")</f>
        <v>Matthew Ross</v>
      </c>
      <c r="P18" s="47">
        <f>IFERROR(__xludf.DUMMYFUNCTION("""COMPUTED_VALUE"""),59900.0)</f>
        <v>59900</v>
      </c>
      <c r="Q18" s="37"/>
    </row>
    <row r="19">
      <c r="I19" s="21"/>
      <c r="J19" s="21" t="s">
        <v>31</v>
      </c>
      <c r="K19" s="21" t="s">
        <v>46</v>
      </c>
      <c r="L19" s="23">
        <v>31200.0</v>
      </c>
      <c r="M19" s="37"/>
      <c r="O19" s="25" t="str">
        <f>IFERROR(__xludf.DUMMYFUNCTION("""COMPUTED_VALUE"""),"Esme Carney")</f>
        <v>Esme Carney</v>
      </c>
      <c r="P19" s="47">
        <f>IFERROR(__xludf.DUMMYFUNCTION("""COMPUTED_VALUE"""),48500.0)</f>
        <v>48500</v>
      </c>
      <c r="Q19" s="37"/>
    </row>
    <row r="20">
      <c r="I20" s="21"/>
      <c r="J20" s="21" t="s">
        <v>31</v>
      </c>
      <c r="K20" s="21" t="s">
        <v>47</v>
      </c>
      <c r="L20" s="23">
        <v>49500.0</v>
      </c>
      <c r="M20" s="37"/>
      <c r="O20" s="25" t="str">
        <f>IFERROR(__xludf.DUMMYFUNCTION("""COMPUTED_VALUE"""),"Tom Wood")</f>
        <v>Tom Wood</v>
      </c>
      <c r="P20" s="47">
        <f>IFERROR(__xludf.DUMMYFUNCTION("""COMPUTED_VALUE"""),65200.0)</f>
        <v>65200</v>
      </c>
      <c r="Q20" s="37"/>
    </row>
    <row r="21">
      <c r="I21" s="21"/>
      <c r="J21" s="21" t="s">
        <v>31</v>
      </c>
      <c r="K21" s="21" t="s">
        <v>48</v>
      </c>
      <c r="L21" s="23">
        <v>58300.0</v>
      </c>
      <c r="M21" s="37"/>
      <c r="O21" s="25" t="str">
        <f>IFERROR(__xludf.DUMMYFUNCTION("""COMPUTED_VALUE"""),"Betina Bauer")</f>
        <v>Betina Bauer</v>
      </c>
      <c r="P21" s="47">
        <f>IFERROR(__xludf.DUMMYFUNCTION("""COMPUTED_VALUE"""),54600.0)</f>
        <v>54600</v>
      </c>
      <c r="Q21" s="37"/>
    </row>
    <row r="22">
      <c r="I22" s="21"/>
      <c r="J22" s="21" t="s">
        <v>31</v>
      </c>
      <c r="K22" s="21" t="s">
        <v>49</v>
      </c>
      <c r="L22" s="23">
        <v>36400.0</v>
      </c>
      <c r="M22" s="37"/>
      <c r="O22" s="25" t="str">
        <f>IFERROR(__xludf.DUMMYFUNCTION("""COMPUTED_VALUE"""),"Cora Briggs")</f>
        <v>Cora Briggs</v>
      </c>
      <c r="P22" s="47">
        <f>IFERROR(__xludf.DUMMYFUNCTION("""COMPUTED_VALUE"""),51300.0)</f>
        <v>51300</v>
      </c>
      <c r="Q22" s="37"/>
    </row>
    <row r="23">
      <c r="I23" s="21"/>
      <c r="J23" s="21" t="s">
        <v>29</v>
      </c>
      <c r="K23" s="21" t="s">
        <v>50</v>
      </c>
      <c r="L23" s="23">
        <v>38500.0</v>
      </c>
      <c r="M23" s="37"/>
      <c r="O23" s="25" t="str">
        <f>IFERROR(__xludf.DUMMYFUNCTION("""COMPUTED_VALUE"""),"Mike Saban")</f>
        <v>Mike Saban</v>
      </c>
      <c r="P23" s="47">
        <f>IFERROR(__xludf.DUMMYFUNCTION("""COMPUTED_VALUE"""),102500.0)</f>
        <v>102500</v>
      </c>
      <c r="Q23" s="37"/>
    </row>
    <row r="24">
      <c r="I24" s="21"/>
      <c r="J24" s="21" t="s">
        <v>29</v>
      </c>
      <c r="K24" s="21" t="s">
        <v>51</v>
      </c>
      <c r="L24" s="23">
        <v>39400.0</v>
      </c>
      <c r="M24" s="37"/>
      <c r="O24" s="25" t="str">
        <f>IFERROR(__xludf.DUMMYFUNCTION("""COMPUTED_VALUE"""),"Corinna Schmidt")</f>
        <v>Corinna Schmidt</v>
      </c>
      <c r="P24" s="47">
        <f>IFERROR(__xludf.DUMMYFUNCTION("""COMPUTED_VALUE"""),86055.0)</f>
        <v>86055</v>
      </c>
      <c r="Q24" s="37"/>
    </row>
    <row r="25">
      <c r="I25" s="21"/>
      <c r="J25" s="21" t="s">
        <v>29</v>
      </c>
      <c r="K25" s="21" t="s">
        <v>52</v>
      </c>
      <c r="L25" s="23">
        <v>42500.0</v>
      </c>
      <c r="M25" s="37"/>
      <c r="O25" s="25" t="str">
        <f>IFERROR(__xludf.DUMMYFUNCTION("""COMPUTED_VALUE"""),"Alex Collins")</f>
        <v>Alex Collins</v>
      </c>
      <c r="P25" s="47">
        <f>IFERROR(__xludf.DUMMYFUNCTION("""COMPUTED_VALUE"""),142000.0)</f>
        <v>142000</v>
      </c>
      <c r="Q25" s="37"/>
    </row>
    <row r="26">
      <c r="I26" s="21"/>
      <c r="J26" s="21" t="s">
        <v>36</v>
      </c>
      <c r="K26" s="21" t="s">
        <v>53</v>
      </c>
      <c r="L26" s="23">
        <v>49727.0</v>
      </c>
      <c r="M26" s="37"/>
      <c r="Q26" s="37"/>
    </row>
    <row r="27">
      <c r="I27" s="21"/>
      <c r="J27" s="21" t="s">
        <v>36</v>
      </c>
      <c r="K27" s="21" t="s">
        <v>54</v>
      </c>
      <c r="L27" s="23">
        <v>49000.0</v>
      </c>
      <c r="M27" s="37"/>
      <c r="Q27" s="37"/>
    </row>
    <row r="28">
      <c r="I28" s="21"/>
      <c r="J28" s="21" t="s">
        <v>31</v>
      </c>
      <c r="K28" s="21" t="s">
        <v>55</v>
      </c>
      <c r="L28" s="23">
        <v>79600.0</v>
      </c>
      <c r="M28" s="37"/>
      <c r="Q28" s="37"/>
    </row>
    <row r="29">
      <c r="I29" s="21"/>
      <c r="J29" s="21" t="s">
        <v>31</v>
      </c>
      <c r="K29" s="21" t="s">
        <v>56</v>
      </c>
      <c r="L29" s="23">
        <v>56500.0</v>
      </c>
      <c r="M29" s="37"/>
      <c r="Q29" s="37"/>
    </row>
    <row r="30">
      <c r="I30" s="21"/>
      <c r="J30" s="21" t="s">
        <v>33</v>
      </c>
      <c r="K30" s="21" t="s">
        <v>57</v>
      </c>
      <c r="L30" s="23">
        <v>59900.0</v>
      </c>
      <c r="M30" s="37"/>
      <c r="Q30" s="37"/>
    </row>
    <row r="31">
      <c r="I31" s="21"/>
      <c r="J31" s="21" t="s">
        <v>33</v>
      </c>
      <c r="K31" s="21" t="s">
        <v>58</v>
      </c>
      <c r="L31" s="23">
        <v>48500.0</v>
      </c>
      <c r="M31" s="37"/>
      <c r="Q31" s="37"/>
    </row>
    <row r="32">
      <c r="I32" s="21"/>
      <c r="J32" s="21" t="s">
        <v>29</v>
      </c>
      <c r="K32" s="21" t="s">
        <v>59</v>
      </c>
      <c r="L32" s="23">
        <v>41200.0</v>
      </c>
      <c r="M32" s="37"/>
      <c r="Q32" s="37"/>
    </row>
    <row r="33">
      <c r="I33" s="21"/>
      <c r="J33" s="21" t="s">
        <v>29</v>
      </c>
      <c r="K33" s="21" t="s">
        <v>60</v>
      </c>
      <c r="L33" s="23">
        <v>52100.0</v>
      </c>
      <c r="M33" s="37"/>
      <c r="Q33" s="37"/>
    </row>
    <row r="34">
      <c r="I34" s="21"/>
      <c r="J34" s="21" t="s">
        <v>33</v>
      </c>
      <c r="K34" s="21" t="s">
        <v>61</v>
      </c>
      <c r="L34" s="23">
        <v>65200.0</v>
      </c>
      <c r="M34" s="37"/>
      <c r="Q34" s="37"/>
    </row>
    <row r="35">
      <c r="I35" s="21"/>
      <c r="J35" s="21" t="s">
        <v>33</v>
      </c>
      <c r="K35" s="21" t="s">
        <v>62</v>
      </c>
      <c r="L35" s="23">
        <v>54600.0</v>
      </c>
      <c r="M35" s="37"/>
      <c r="Q35" s="37"/>
    </row>
    <row r="36">
      <c r="I36" s="21"/>
      <c r="J36" s="21" t="s">
        <v>33</v>
      </c>
      <c r="K36" s="21" t="s">
        <v>63</v>
      </c>
      <c r="L36" s="23">
        <v>51300.0</v>
      </c>
      <c r="M36" s="37"/>
      <c r="Q36" s="37"/>
    </row>
    <row r="37">
      <c r="I37" s="21"/>
      <c r="J37" s="21" t="s">
        <v>33</v>
      </c>
      <c r="K37" s="21" t="s">
        <v>64</v>
      </c>
      <c r="L37" s="23">
        <v>102500.0</v>
      </c>
      <c r="M37" s="37"/>
      <c r="Q37" s="37"/>
    </row>
    <row r="38">
      <c r="I38" s="21"/>
      <c r="J38" s="21" t="s">
        <v>36</v>
      </c>
      <c r="K38" s="21" t="s">
        <v>65</v>
      </c>
      <c r="L38" s="23">
        <v>65270.0</v>
      </c>
      <c r="M38" s="37"/>
      <c r="Q38" s="37"/>
    </row>
    <row r="39">
      <c r="I39" s="21"/>
      <c r="J39" s="21" t="s">
        <v>36</v>
      </c>
      <c r="K39" s="21" t="s">
        <v>66</v>
      </c>
      <c r="L39" s="23">
        <v>78600.0</v>
      </c>
      <c r="M39" s="37"/>
      <c r="Q39" s="37"/>
    </row>
    <row r="40">
      <c r="I40" s="21"/>
      <c r="J40" s="21" t="s">
        <v>36</v>
      </c>
      <c r="K40" s="21" t="s">
        <v>67</v>
      </c>
      <c r="L40" s="23">
        <v>145000.0</v>
      </c>
      <c r="M40" s="37"/>
      <c r="Q40" s="37"/>
    </row>
    <row r="41">
      <c r="I41" s="21"/>
      <c r="J41" s="21" t="s">
        <v>33</v>
      </c>
      <c r="K41" s="21" t="s">
        <v>68</v>
      </c>
      <c r="L41" s="23">
        <v>86055.0</v>
      </c>
      <c r="M41" s="37"/>
      <c r="Q41" s="37"/>
    </row>
    <row r="42">
      <c r="I42" s="21"/>
      <c r="J42" s="21" t="s">
        <v>29</v>
      </c>
      <c r="K42" s="21" t="s">
        <v>69</v>
      </c>
      <c r="L42" s="23">
        <v>125600.0</v>
      </c>
      <c r="M42" s="37"/>
      <c r="Q42" s="37"/>
    </row>
    <row r="43">
      <c r="I43" s="21"/>
      <c r="J43" s="21" t="s">
        <v>36</v>
      </c>
      <c r="K43" s="21" t="s">
        <v>70</v>
      </c>
      <c r="L43" s="23">
        <v>86500.0</v>
      </c>
      <c r="M43" s="37"/>
      <c r="Q43" s="37"/>
    </row>
    <row r="44">
      <c r="I44" s="21"/>
      <c r="J44" s="21" t="s">
        <v>36</v>
      </c>
      <c r="K44" s="21" t="s">
        <v>71</v>
      </c>
      <c r="L44" s="23">
        <v>108357.0</v>
      </c>
      <c r="M44" s="37"/>
      <c r="Q44" s="37"/>
    </row>
    <row r="45">
      <c r="I45" s="21"/>
      <c r="J45" s="21" t="s">
        <v>29</v>
      </c>
      <c r="K45" s="21" t="s">
        <v>72</v>
      </c>
      <c r="L45" s="23">
        <v>115000.0</v>
      </c>
      <c r="M45" s="37"/>
      <c r="Q45" s="37"/>
    </row>
    <row r="46">
      <c r="I46" s="21"/>
      <c r="J46" s="21" t="s">
        <v>33</v>
      </c>
      <c r="K46" s="21" t="s">
        <v>73</v>
      </c>
      <c r="L46" s="23">
        <v>142000.0</v>
      </c>
      <c r="M46" s="37"/>
      <c r="Q46" s="37"/>
    </row>
    <row r="47">
      <c r="I47" s="21"/>
      <c r="J47" s="21" t="s">
        <v>29</v>
      </c>
      <c r="K47" s="21" t="s">
        <v>74</v>
      </c>
      <c r="L47" s="23">
        <v>141200.0</v>
      </c>
      <c r="M47" s="37"/>
      <c r="Q47" s="37"/>
    </row>
    <row r="48">
      <c r="L48" s="23"/>
      <c r="M48" s="37"/>
      <c r="Q48" s="37"/>
    </row>
    <row r="49">
      <c r="M49" s="37"/>
      <c r="Q49" s="37"/>
    </row>
    <row r="50">
      <c r="M50" s="37"/>
      <c r="Q50" s="37"/>
    </row>
    <row r="51">
      <c r="M51" s="37"/>
      <c r="Q51" s="37"/>
    </row>
    <row r="52">
      <c r="M52" s="37"/>
      <c r="Q52" s="37"/>
    </row>
    <row r="53">
      <c r="M53" s="37"/>
      <c r="Q53" s="37"/>
    </row>
    <row r="54">
      <c r="M54" s="37"/>
      <c r="Q54" s="37"/>
    </row>
    <row r="55">
      <c r="M55" s="37"/>
      <c r="Q55" s="37"/>
    </row>
    <row r="56">
      <c r="M56" s="37"/>
      <c r="Q56" s="37"/>
    </row>
    <row r="57">
      <c r="M57" s="37"/>
      <c r="Q57" s="37"/>
    </row>
  </sheetData>
  <dataValidations>
    <dataValidation type="list" allowBlank="1" showErrorMessage="1" sqref="B5">
      <formula1>Challenge!$J$6:$J1002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cols>
    <col customWidth="1" min="1" max="1" width="2.13"/>
    <col customWidth="1" min="2" max="2" width="17.63"/>
    <col customWidth="1" min="3" max="8" width="6.63"/>
    <col customWidth="1" min="9" max="13" width="12.0"/>
    <col customWidth="1" min="14" max="14" width="6.63"/>
    <col customWidth="1" min="15" max="16" width="4.25"/>
    <col customWidth="1" min="18" max="18" width="61.88"/>
    <col customWidth="1" min="19" max="19" width="10.88"/>
  </cols>
  <sheetData>
    <row r="1">
      <c r="A1" s="17" t="s">
        <v>13</v>
      </c>
      <c r="B1" s="18"/>
      <c r="C1" s="18"/>
      <c r="D1" s="18"/>
      <c r="E1" s="18"/>
      <c r="F1" s="18"/>
      <c r="G1" s="18"/>
      <c r="H1" s="18"/>
      <c r="I1" s="18"/>
      <c r="J1" s="18"/>
      <c r="K1" s="18"/>
      <c r="L1" s="18"/>
      <c r="M1" s="18"/>
      <c r="N1" s="18"/>
      <c r="O1" s="18"/>
      <c r="P1" s="18"/>
      <c r="Q1" s="18"/>
      <c r="R1" s="18"/>
      <c r="S1" s="18"/>
    </row>
    <row r="2">
      <c r="A2" s="21" t="s">
        <v>151</v>
      </c>
      <c r="Q2" s="50" t="s">
        <v>152</v>
      </c>
      <c r="R2" s="51"/>
    </row>
    <row r="3" ht="29.25" customHeight="1">
      <c r="C3" s="52" t="s">
        <v>153</v>
      </c>
      <c r="D3" s="52" t="s">
        <v>154</v>
      </c>
      <c r="E3" s="52" t="s">
        <v>155</v>
      </c>
      <c r="F3" s="52" t="s">
        <v>156</v>
      </c>
      <c r="G3" s="52" t="s">
        <v>157</v>
      </c>
      <c r="H3" s="52" t="s">
        <v>158</v>
      </c>
      <c r="I3" s="53" t="s">
        <v>159</v>
      </c>
      <c r="J3" s="54" t="s">
        <v>160</v>
      </c>
      <c r="K3" s="53" t="s">
        <v>161</v>
      </c>
      <c r="L3" s="53" t="s">
        <v>162</v>
      </c>
      <c r="R3" s="55" t="s">
        <v>163</v>
      </c>
    </row>
    <row r="4" ht="18.0" customHeight="1">
      <c r="B4" s="25" t="s">
        <v>87</v>
      </c>
      <c r="C4" s="28">
        <v>1500.0</v>
      </c>
      <c r="D4" s="28">
        <v>2500.0</v>
      </c>
      <c r="E4" s="28">
        <v>3000.0</v>
      </c>
      <c r="F4" s="28">
        <v>3100.0</v>
      </c>
      <c r="G4" s="28">
        <v>3200.0</v>
      </c>
      <c r="H4" s="28"/>
      <c r="I4" s="25"/>
      <c r="J4" s="25" t="str">
        <f>IFERROR(__xludf.DUMMYFUNCTION("SPARKLINE(C4:H4,{""ymin"",0;""ymax"",max($C$4:$H$6)})"),"")</f>
        <v/>
      </c>
      <c r="K4" s="25" t="str">
        <f>IFERROR(__xludf.DUMMYFUNCTION("SPARKLINE(C4:H4,{""charttype"",""bar"";""color1"",""gray""})"),"")</f>
        <v/>
      </c>
      <c r="L4" s="25"/>
      <c r="Q4" s="13"/>
      <c r="R4" s="56" t="s">
        <v>164</v>
      </c>
    </row>
    <row r="5" ht="18.0" customHeight="1">
      <c r="B5" s="25" t="s">
        <v>85</v>
      </c>
      <c r="C5" s="35">
        <v>250.0</v>
      </c>
      <c r="D5" s="35">
        <v>360.0</v>
      </c>
      <c r="E5" s="35">
        <v>230.0</v>
      </c>
      <c r="F5" s="35">
        <v>180.0</v>
      </c>
      <c r="G5" s="35">
        <v>150.0</v>
      </c>
      <c r="H5" s="57"/>
      <c r="I5" s="25"/>
      <c r="J5" s="25" t="str">
        <f>IFERROR(__xludf.DUMMYFUNCTION("SPARKLINE(C5:H5,{""ymin"",0;""ymax"",max($C$4:$H$6)})"),"")</f>
        <v/>
      </c>
      <c r="K5" s="25" t="str">
        <f>IFERROR(__xludf.DUMMYFUNCTION("SPARKLINE(C5:H5,{""charttype"",""bar"";""color1"",""gray""})"),"")</f>
        <v/>
      </c>
      <c r="L5" s="25"/>
      <c r="Q5" s="13"/>
      <c r="R5" s="56" t="s">
        <v>165</v>
      </c>
    </row>
    <row r="6" ht="18.0" customHeight="1">
      <c r="B6" s="25" t="s">
        <v>86</v>
      </c>
      <c r="C6" s="38">
        <v>370.0</v>
      </c>
      <c r="D6" s="38">
        <v>320.0</v>
      </c>
      <c r="E6" s="38">
        <v>450.0</v>
      </c>
      <c r="F6" s="38">
        <v>230.0</v>
      </c>
      <c r="G6" s="38">
        <v>280.0</v>
      </c>
      <c r="H6" s="58"/>
      <c r="I6" s="25"/>
      <c r="J6" s="25" t="str">
        <f>IFERROR(__xludf.DUMMYFUNCTION("SPARKLINE(C6:H6,{""ymin"",0;""ymax"",max($C$4:$H$6)})"),"")</f>
        <v/>
      </c>
      <c r="K6" s="25" t="str">
        <f>IFERROR(__xludf.DUMMYFUNCTION("SPARKLINE(C6:H6,{""charttype"",""bar"";""color1"",""gray""})"),"")</f>
        <v/>
      </c>
      <c r="L6" s="25"/>
      <c r="Q6" s="59"/>
      <c r="R6" s="60" t="s">
        <v>166</v>
      </c>
    </row>
    <row r="7">
      <c r="Q7" s="61" t="s">
        <v>167</v>
      </c>
      <c r="R7" s="62" t="s">
        <v>168</v>
      </c>
    </row>
    <row r="8">
      <c r="Q8" s="13"/>
      <c r="R8" s="56" t="s">
        <v>169</v>
      </c>
    </row>
    <row r="9">
      <c r="B9" s="19" t="s">
        <v>27</v>
      </c>
      <c r="C9" s="19" t="s">
        <v>28</v>
      </c>
      <c r="Q9" s="13"/>
      <c r="R9" s="56" t="s">
        <v>170</v>
      </c>
    </row>
    <row r="10">
      <c r="B10" s="21" t="s">
        <v>32</v>
      </c>
      <c r="C10" s="23">
        <v>25600.0</v>
      </c>
      <c r="D10" s="25" t="str">
        <f>IFERROR(__xludf.DUMMYFUNCTION("SPARKLINE(C10,{""charttype"",""bar"";""max"",max($C$10:$C$17);""color1"",""gray""})"),"")</f>
        <v/>
      </c>
      <c r="Q10" s="13"/>
      <c r="R10" s="56" t="s">
        <v>171</v>
      </c>
    </row>
    <row r="11">
      <c r="B11" s="21" t="s">
        <v>39</v>
      </c>
      <c r="C11" s="23">
        <v>30600.0</v>
      </c>
      <c r="D11" s="25" t="str">
        <f>IFERROR(__xludf.DUMMYFUNCTION("SPARKLINE(C11,{""charttype"",""bar"";""max"",max($C$10:$C$17);""color1"",""gray""})"),"")</f>
        <v/>
      </c>
      <c r="Q11" s="13"/>
      <c r="R11" s="56" t="s">
        <v>172</v>
      </c>
    </row>
    <row r="12">
      <c r="B12" s="21" t="s">
        <v>46</v>
      </c>
      <c r="C12" s="23">
        <v>31200.0</v>
      </c>
      <c r="D12" s="25" t="str">
        <f>IFERROR(__xludf.DUMMYFUNCTION("SPARKLINE(C12,{""charttype"",""bar"";""max"",max($C$10:$C$17);""color1"",""gray""})"),"")</f>
        <v/>
      </c>
      <c r="Q12" s="13"/>
      <c r="R12" s="56" t="s">
        <v>173</v>
      </c>
    </row>
    <row r="13">
      <c r="B13" s="21" t="s">
        <v>47</v>
      </c>
      <c r="C13" s="23">
        <v>49500.0</v>
      </c>
      <c r="D13" s="25" t="str">
        <f>IFERROR(__xludf.DUMMYFUNCTION("SPARKLINE(C13,{""charttype"",""bar"";""max"",max($C$10:$C$17);""color1"",""gray""})"),"")</f>
        <v/>
      </c>
      <c r="Q13" s="13"/>
      <c r="R13" s="56" t="s">
        <v>174</v>
      </c>
    </row>
    <row r="14">
      <c r="B14" s="21" t="s">
        <v>48</v>
      </c>
      <c r="C14" s="23">
        <v>58300.0</v>
      </c>
      <c r="D14" s="25" t="str">
        <f>IFERROR(__xludf.DUMMYFUNCTION("SPARKLINE(C14,{""charttype"",""bar"";""max"",max($C$10:$C$17);""color1"",""gray""})"),"")</f>
        <v/>
      </c>
      <c r="Q14" s="13"/>
      <c r="R14" s="56" t="s">
        <v>175</v>
      </c>
    </row>
    <row r="15">
      <c r="B15" s="21" t="s">
        <v>49</v>
      </c>
      <c r="C15" s="23">
        <v>36400.0</v>
      </c>
      <c r="D15" s="25" t="str">
        <f>IFERROR(__xludf.DUMMYFUNCTION("SPARKLINE(C15,{""charttype"",""bar"";""max"",max($C$10:$C$17);""color1"",""gray""})"),"")</f>
        <v/>
      </c>
      <c r="Q15" s="59"/>
      <c r="R15" s="51" t="s">
        <v>176</v>
      </c>
    </row>
    <row r="16">
      <c r="B16" s="21" t="s">
        <v>55</v>
      </c>
      <c r="C16" s="23">
        <v>79600.0</v>
      </c>
      <c r="D16" s="25" t="str">
        <f>IFERROR(__xludf.DUMMYFUNCTION("SPARKLINE(C16,{""charttype"",""bar"";""max"",max($C$10:$C$17);""color1"",""gray""})"),"")</f>
        <v/>
      </c>
      <c r="Q16" s="63" t="s">
        <v>177</v>
      </c>
      <c r="R16" s="62" t="s">
        <v>178</v>
      </c>
    </row>
    <row r="17">
      <c r="B17" s="21" t="s">
        <v>56</v>
      </c>
      <c r="C17" s="23">
        <v>56500.0</v>
      </c>
      <c r="D17" s="25" t="str">
        <f>IFERROR(__xludf.DUMMYFUNCTION("SPARKLINE(C17,{""charttype"",""bar"";""max"",max($C$10:$C$17);""color1"",""gray""})"),"")</f>
        <v/>
      </c>
      <c r="R17" s="56" t="s">
        <v>179</v>
      </c>
    </row>
    <row r="18">
      <c r="Q18" s="64"/>
      <c r="R18" s="56" t="s">
        <v>180</v>
      </c>
    </row>
    <row r="19">
      <c r="D19" s="23"/>
      <c r="Q19" s="13"/>
      <c r="R19" s="56" t="s">
        <v>181</v>
      </c>
    </row>
    <row r="20">
      <c r="E20" s="23"/>
      <c r="Q20" s="13"/>
      <c r="R20" s="56" t="s">
        <v>182</v>
      </c>
    </row>
    <row r="21">
      <c r="E21" s="23"/>
      <c r="Q21" s="13"/>
      <c r="R21" s="56" t="s">
        <v>183</v>
      </c>
    </row>
    <row r="22">
      <c r="Q22" s="13"/>
      <c r="R22" s="56" t="s">
        <v>173</v>
      </c>
    </row>
    <row r="23">
      <c r="Q23" s="13"/>
      <c r="R23" s="56" t="s">
        <v>174</v>
      </c>
    </row>
    <row r="24">
      <c r="Q24" s="13"/>
      <c r="R24" s="56" t="s">
        <v>184</v>
      </c>
    </row>
    <row r="25">
      <c r="Q25" s="13"/>
      <c r="R25" s="56" t="s">
        <v>185</v>
      </c>
    </row>
    <row r="26">
      <c r="Q26" s="13"/>
      <c r="R26" s="15" t="s">
        <v>186</v>
      </c>
    </row>
    <row r="27">
      <c r="Q27" s="13"/>
      <c r="R27" s="15" t="s">
        <v>187</v>
      </c>
    </row>
    <row r="28">
      <c r="Q28" s="59"/>
      <c r="R28" s="51" t="s">
        <v>175</v>
      </c>
    </row>
    <row r="29">
      <c r="Q29" s="61" t="s">
        <v>188</v>
      </c>
      <c r="R29" s="62" t="s">
        <v>189</v>
      </c>
    </row>
    <row r="30">
      <c r="E30" s="23"/>
      <c r="Q30" s="13"/>
      <c r="R30" s="56" t="s">
        <v>190</v>
      </c>
    </row>
    <row r="31">
      <c r="E31" s="23"/>
      <c r="Q31" s="13"/>
      <c r="R31" s="56" t="s">
        <v>191</v>
      </c>
    </row>
    <row r="32">
      <c r="E32" s="23"/>
      <c r="Q32" s="13"/>
      <c r="R32" s="56" t="s">
        <v>173</v>
      </c>
    </row>
    <row r="33">
      <c r="E33" s="23"/>
      <c r="Q33" s="13"/>
      <c r="R33" s="56" t="s">
        <v>174</v>
      </c>
    </row>
    <row r="34">
      <c r="E34" s="23"/>
      <c r="Q34" s="59"/>
      <c r="R34" s="51" t="s">
        <v>175</v>
      </c>
    </row>
    <row r="35">
      <c r="E35" s="23"/>
    </row>
    <row r="36">
      <c r="E36" s="23"/>
    </row>
    <row r="37">
      <c r="E37" s="23"/>
    </row>
    <row r="38">
      <c r="E38" s="23"/>
    </row>
    <row r="39">
      <c r="E39" s="23"/>
    </row>
    <row r="40">
      <c r="E40" s="23"/>
    </row>
    <row r="41">
      <c r="E41" s="23"/>
    </row>
    <row r="42">
      <c r="E42" s="23"/>
    </row>
    <row r="43">
      <c r="E43" s="23"/>
    </row>
    <row r="44">
      <c r="E44" s="23"/>
    </row>
    <row r="45">
      <c r="E45" s="23"/>
    </row>
    <row r="46">
      <c r="E46" s="23"/>
    </row>
    <row r="47">
      <c r="E47" s="23"/>
    </row>
    <row r="48">
      <c r="E48" s="23"/>
    </row>
    <row r="49">
      <c r="E49" s="23"/>
    </row>
    <row r="50">
      <c r="E50" s="23"/>
    </row>
    <row r="51">
      <c r="E51" s="23"/>
    </row>
    <row r="52">
      <c r="E52" s="23"/>
    </row>
  </sheetData>
  <mergeCells count="1">
    <mergeCell ref="Q16:Q18"/>
  </mergeCells>
  <drawing r:id="rId1"/>
  <extLst>
    <ext uri="{05C60535-1F16-4fd2-B633-F4F36F0B64E0}">
      <x14:sparklineGroups>
        <x14:sparklineGroup lineWeight="1.5" displayEmptyCellsAs="gap">
          <x14:colorSeries rgb="FF3D85C6"/>
          <x14:sparklines>
            <x14:sparkline>
              <xm:f>Sparklines!C4:H4</xm:f>
              <xm:sqref>I4</xm:sqref>
            </x14:sparkline>
          </x14:sparklines>
        </x14:sparklineGroup>
        <x14:sparklineGroup type="column" displayEmptyCellsAs="gap" high="1" low="1">
          <x14:colorSeries rgb="FF808080"/>
          <x14:colorHigh rgb="FF008000"/>
          <x14:colorLow rgb="FFFFA500"/>
          <x14:sparklines>
            <x14:sparkline>
              <xm:f>Sparklines!C4:H4</xm:f>
              <xm:sqref>L4</xm:sqref>
            </x14:sparkline>
          </x14:sparklines>
        </x14:sparklineGroup>
        <x14:sparklineGroup lineWeight="1.5" displayEmptyCellsAs="gap">
          <x14:colorSeries rgb="FF3D85C6"/>
          <x14:sparklines>
            <x14:sparkline>
              <xm:f>Sparklines!C5:H5</xm:f>
              <xm:sqref>I5</xm:sqref>
            </x14:sparkline>
          </x14:sparklines>
        </x14:sparklineGroup>
        <x14:sparklineGroup type="column" displayEmptyCellsAs="gap" high="1" low="1">
          <x14:colorSeries rgb="FF808080"/>
          <x14:colorHigh rgb="FF008000"/>
          <x14:colorLow rgb="FFFFA500"/>
          <x14:sparklines>
            <x14:sparkline>
              <xm:f>Sparklines!C5:H5</xm:f>
              <xm:sqref>L5</xm:sqref>
            </x14:sparkline>
          </x14:sparklines>
        </x14:sparklineGroup>
        <x14:sparklineGroup lineWeight="1.5" displayEmptyCellsAs="gap">
          <x14:colorSeries rgb="FF3D85C6"/>
          <x14:sparklines>
            <x14:sparkline>
              <xm:f>Sparklines!C6:H6</xm:f>
              <xm:sqref>I6</xm:sqref>
            </x14:sparkline>
          </x14:sparklines>
        </x14:sparklineGroup>
        <x14:sparklineGroup type="column" displayEmptyCellsAs="gap" high="1" low="1">
          <x14:colorSeries rgb="FF808080"/>
          <x14:colorHigh rgb="FF008000"/>
          <x14:colorLow rgb="FFFFA500"/>
          <x14:sparklines>
            <x14:sparkline>
              <xm:f>Sparklines!C6:H6</xm:f>
              <xm:sqref>L6</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cols>
    <col customWidth="1" min="2" max="2" width="21.75"/>
    <col customWidth="1" min="3" max="3" width="25.0"/>
    <col customWidth="1" min="6" max="6" width="6.13"/>
    <col customWidth="1" min="7" max="7" width="13.0"/>
    <col customWidth="1" min="8" max="9" width="12.5"/>
  </cols>
  <sheetData>
    <row r="1">
      <c r="A1" s="17" t="s">
        <v>192</v>
      </c>
      <c r="B1" s="18"/>
      <c r="C1" s="18"/>
      <c r="D1" s="18"/>
      <c r="E1" s="18"/>
      <c r="F1" s="18"/>
      <c r="G1" s="18"/>
    </row>
    <row r="2" ht="11.25" customHeight="1"/>
    <row r="3" ht="11.25" customHeight="1"/>
    <row r="4">
      <c r="C4" s="65">
        <v>30.0</v>
      </c>
      <c r="F4" s="66" t="s">
        <v>193</v>
      </c>
      <c r="G4" s="65" t="s">
        <v>194</v>
      </c>
      <c r="H4" s="21" t="s">
        <v>195</v>
      </c>
    </row>
    <row r="5">
      <c r="A5" s="67"/>
      <c r="B5" s="7" t="s">
        <v>196</v>
      </c>
      <c r="C5" s="68" t="str">
        <f>"Trend for the last "&amp;C4&amp;" days"</f>
        <v>Trend for the last 30 days</v>
      </c>
      <c r="G5" s="69" t="s">
        <v>197</v>
      </c>
      <c r="H5" s="70" t="s">
        <v>198</v>
      </c>
    </row>
    <row r="6" ht="28.5" customHeight="1">
      <c r="A6" s="71" t="s">
        <v>199</v>
      </c>
      <c r="B6" s="72" t="str">
        <f>IFERROR(__xludf.DUMMYFUNCTION("GOOGLEFINANCE(A6,""name"")"),"Microsoft Corp")</f>
        <v>Microsoft Corp</v>
      </c>
      <c r="C6" s="72" t="str">
        <f>IFERROR(__xludf.DUMMYFUNCTION("iferror(SPARKLINE(GOOGLEFINANCE(A6,""close"",today()-$C$4,$C$4),{""color"",""#3d85c6"";""linewidth"",1.5}),"""")"),"")</f>
        <v/>
      </c>
      <c r="F6" s="71" t="s">
        <v>200</v>
      </c>
      <c r="G6" s="72" t="str">
        <f>IFERROR(__xludf.DUMMYFUNCTION("ifna(SPARKLINE(GOOGLEFINANCE(""CURRENCY:""&amp;$G$4&amp;F6,""close"",today()-90,90,""weekly"")),"""")"),"")</f>
        <v/>
      </c>
      <c r="H6" s="73"/>
    </row>
    <row r="7" ht="28.5" customHeight="1">
      <c r="A7" s="74" t="s">
        <v>201</v>
      </c>
      <c r="B7" s="72" t="str">
        <f>IFERROR(__xludf.DUMMYFUNCTION("GOOGLEFINANCE(A7,""name"")"),"Alphabet Inc Class C")</f>
        <v>Alphabet Inc Class C</v>
      </c>
      <c r="C7" s="72" t="str">
        <f>IFERROR(__xludf.DUMMYFUNCTION("iferror(SPARKLINE(GOOGLEFINANCE(A7,""close"",today()-$C$4,$C$4),{""color"",""#3d85c6"";""linewidth"",1.5}),"""")"),"")</f>
        <v/>
      </c>
      <c r="F7" s="74" t="s">
        <v>194</v>
      </c>
      <c r="G7" s="72" t="str">
        <f>IFERROR(__xludf.DUMMYFUNCTION("ifna(SPARKLINE(GOOGLEFINANCE(""CURRENCY:""&amp;$G$4&amp;F7,""close"",today()-90,90,""weekly"")),"""")"),"")</f>
        <v/>
      </c>
      <c r="H7" s="73"/>
    </row>
    <row r="8" ht="28.5" customHeight="1">
      <c r="A8" s="74" t="s">
        <v>202</v>
      </c>
      <c r="B8" s="72" t="str">
        <f>IFERROR(__xludf.DUMMYFUNCTION("GOOGLEFINANCE(A8,""name"")"),"Amazon.com Inc")</f>
        <v>Amazon.com Inc</v>
      </c>
      <c r="C8" s="72" t="str">
        <f>IFERROR(__xludf.DUMMYFUNCTION("iferror(SPARKLINE(GOOGLEFINANCE(A8,""close"",today()-$C$4,$C$4),{""color"",""#3d85c6"";""linewidth"",1.5}),"""")"),"")</f>
        <v/>
      </c>
      <c r="F8" s="74" t="s">
        <v>203</v>
      </c>
      <c r="G8" s="72" t="str">
        <f>IFERROR(__xludf.DUMMYFUNCTION("ifna(SPARKLINE(GOOGLEFINANCE(""CURRENCY:""&amp;$G$4&amp;F8,""close"",today()-90,90,""weekly"")),"""")"),"")</f>
        <v/>
      </c>
      <c r="H8" s="73"/>
    </row>
    <row r="9" ht="28.5" customHeight="1">
      <c r="A9" s="74" t="s">
        <v>204</v>
      </c>
      <c r="B9" s="72" t="str">
        <f>IFERROR(__xludf.DUMMYFUNCTION("GOOGLEFINANCE(A9,""name"")"),"Royal Caribbean Cruises Ltd")</f>
        <v>Royal Caribbean Cruises Ltd</v>
      </c>
      <c r="C9" s="72" t="str">
        <f>IFERROR(__xludf.DUMMYFUNCTION("iferror(SPARKLINE(GOOGLEFINANCE(A9,""close"",today()-$C$4,$C$4),{""color"",""#3d85c6"";""linewidth"",1.5}),"""")"),"")</f>
        <v/>
      </c>
      <c r="F9" s="74" t="s">
        <v>205</v>
      </c>
      <c r="G9" s="72" t="str">
        <f>IFERROR(__xludf.DUMMYFUNCTION("ifna(SPARKLINE(GOOGLEFINANCE(""CURRENCY:""&amp;$G$4&amp;F9,""close"",today()-90,90,""weekly"")),"""")"),"")</f>
        <v/>
      </c>
      <c r="H9" s="73"/>
    </row>
    <row r="10" ht="28.5" customHeight="1">
      <c r="A10" s="74" t="s">
        <v>206</v>
      </c>
      <c r="B10" s="72" t="str">
        <f>IFERROR(__xludf.DUMMYFUNCTION("GOOGLEFINANCE(A10,""name"")"),"United Airlines Holdings Inc")</f>
        <v>United Airlines Holdings Inc</v>
      </c>
      <c r="C10" s="72" t="str">
        <f>IFERROR(__xludf.DUMMYFUNCTION("iferror(SPARKLINE(GOOGLEFINANCE(A10,""close"",today()-$C$4,$C$4),{""color"",""#3d85c6"";""linewidth"",1.5}),"""")"),"")</f>
        <v/>
      </c>
      <c r="F10" s="74" t="s">
        <v>207</v>
      </c>
      <c r="G10" s="72" t="str">
        <f>IFERROR(__xludf.DUMMYFUNCTION("ifna(SPARKLINE(GOOGLEFINANCE(""CURRENCY:""&amp;$G$4&amp;F10,""close"",today()-90,90,""weekly"")),"""")"),"")</f>
        <v/>
      </c>
      <c r="H10" s="73"/>
    </row>
    <row r="11" ht="28.5" customHeight="1">
      <c r="F11" s="74" t="s">
        <v>208</v>
      </c>
      <c r="G11" s="72" t="str">
        <f>IFERROR(__xludf.DUMMYFUNCTION("ifna(SPARKLINE(GOOGLEFINANCE(""CURRENCY:""&amp;$G$4&amp;F11,""close"",today()-90,90,""weekly"")),"""")"),"")</f>
        <v/>
      </c>
      <c r="H11" s="73"/>
    </row>
    <row r="12" ht="28.5" customHeight="1">
      <c r="F12" s="74" t="s">
        <v>209</v>
      </c>
      <c r="G12" s="72" t="str">
        <f>IFERROR(__xludf.DUMMYFUNCTION("ifna(SPARKLINE(GOOGLEFINANCE(""CURRENCY:""&amp;$G$4&amp;F12,""close"",today()-90,90,""weekly"")),"""")"),"")</f>
        <v/>
      </c>
      <c r="H12" s="73"/>
    </row>
  </sheetData>
  <mergeCells count="7">
    <mergeCell ref="G6:H6"/>
    <mergeCell ref="G7:H7"/>
    <mergeCell ref="G8:H8"/>
    <mergeCell ref="G9:H9"/>
    <mergeCell ref="G10:H10"/>
    <mergeCell ref="G11:H11"/>
    <mergeCell ref="G12:H12"/>
  </mergeCells>
  <dataValidations>
    <dataValidation type="list" allowBlank="1" showErrorMessage="1" sqref="C4">
      <formula1>"30,90"</formula1>
    </dataValidation>
    <dataValidation type="list" allowBlank="1" sqref="G4">
      <formula1>'Stock Currency Trend'!$F$6:$F$12</formula1>
    </dataValidation>
  </dataValidations>
  <drawing r:id="rId1"/>
</worksheet>
</file>