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  <sheet state="visible" name="Q2" sheetId="2" r:id="rId6"/>
    <sheet state="visible" name="Q3" sheetId="3" r:id="rId7"/>
    <sheet state="visible" name="Q4" sheetId="4" r:id="rId8"/>
    <sheet state="visible" name="Q5" sheetId="5" r:id="rId9"/>
  </sheets>
  <definedNames/>
  <calcPr/>
</workbook>
</file>

<file path=xl/sharedStrings.xml><?xml version="1.0" encoding="utf-8"?>
<sst xmlns="http://schemas.openxmlformats.org/spreadsheetml/2006/main" count="534" uniqueCount="97">
  <si>
    <t>Question 1</t>
  </si>
  <si>
    <t>What's the total sales for Agent A?</t>
  </si>
  <si>
    <t>Date</t>
  </si>
  <si>
    <t>Sales Agent</t>
  </si>
  <si>
    <t>Sales</t>
  </si>
  <si>
    <t>Agent D</t>
  </si>
  <si>
    <t>Agent C</t>
  </si>
  <si>
    <t>Agent A</t>
  </si>
  <si>
    <t>Agent B</t>
  </si>
  <si>
    <t>Question 2</t>
  </si>
  <si>
    <t>How many unique Apps are there in this list?</t>
  </si>
  <si>
    <t>Division</t>
  </si>
  <si>
    <t>Region</t>
  </si>
  <si>
    <t>App</t>
  </si>
  <si>
    <t>Revenue</t>
  </si>
  <si>
    <t>Game</t>
  </si>
  <si>
    <t>Asia</t>
  </si>
  <si>
    <t>Arcade</t>
  </si>
  <si>
    <t>Aviatrr</t>
  </si>
  <si>
    <t>Baden</t>
  </si>
  <si>
    <t>deRamblr</t>
  </si>
  <si>
    <t>Fightrr</t>
  </si>
  <si>
    <t>Twistrr</t>
  </si>
  <si>
    <t>Australia</t>
  </si>
  <si>
    <t>Pes</t>
  </si>
  <si>
    <t>Europe</t>
  </si>
  <si>
    <t>Kryptis</t>
  </si>
  <si>
    <t>Perino</t>
  </si>
  <si>
    <t>North America</t>
  </si>
  <si>
    <t>South America</t>
  </si>
  <si>
    <t>Productivity</t>
  </si>
  <si>
    <t>Halotot</t>
  </si>
  <si>
    <t>Inkly</t>
  </si>
  <si>
    <t>Blend</t>
  </si>
  <si>
    <t>Dasring</t>
  </si>
  <si>
    <t>Didactic</t>
  </si>
  <si>
    <t>Flowrrr</t>
  </si>
  <si>
    <t>Right App</t>
  </si>
  <si>
    <t>Silvrr</t>
  </si>
  <si>
    <t>Sleops</t>
  </si>
  <si>
    <t>Voltage</t>
  </si>
  <si>
    <t>WenCaL</t>
  </si>
  <si>
    <t>Kind Ape</t>
  </si>
  <si>
    <t>Mirrrr</t>
  </si>
  <si>
    <t>Pet Feed</t>
  </si>
  <si>
    <t>Rehire</t>
  </si>
  <si>
    <t>Utility</t>
  </si>
  <si>
    <t>Accord</t>
  </si>
  <si>
    <t>Amplefio</t>
  </si>
  <si>
    <t>Atmos</t>
  </si>
  <si>
    <t>Commuta</t>
  </si>
  <si>
    <t>Infic</t>
  </si>
  <si>
    <t>Minor Liar</t>
  </si>
  <si>
    <t>Misty Wash</t>
  </si>
  <si>
    <t>Mosquit</t>
  </si>
  <si>
    <t>Motocyco</t>
  </si>
  <si>
    <t>Twenty20</t>
  </si>
  <si>
    <t>Question 3</t>
  </si>
  <si>
    <t>Conditionally Format the data rows (from A to D) that have Revenue larger than the value input in cell A3.</t>
  </si>
  <si>
    <t>Question 4</t>
  </si>
  <si>
    <t>Who are the Top 2 Earners?</t>
  </si>
  <si>
    <t>Name</t>
  </si>
  <si>
    <t>Entry 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</si>
  <si>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</si>
  <si>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</si>
  <si>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</si>
  <si>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</si>
  <si>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</si>
  <si>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</si>
  <si>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</si>
  <si>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</si>
  <si>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</si>
  <si>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</si>
  <si>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</si>
  <si>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</si>
  <si>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</si>
  <si>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</si>
  <si>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</si>
  <si>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</si>
  <si>
    <t>Paul Hill</t>
  </si>
  <si>
    <t>Corinna Schmidt</t>
  </si>
  <si>
    <t>Ewan Thompson</t>
  </si>
  <si>
    <t>Walter Miller</t>
  </si>
  <si>
    <t>Paul Wells</t>
  </si>
  <si>
    <t>Betina Bauer</t>
  </si>
  <si>
    <t>Daniela Schreiber</t>
  </si>
  <si>
    <t>Dan Ziegler</t>
  </si>
  <si>
    <t>Peter Ramsy</t>
  </si>
  <si>
    <t>Wolfgang Ramjac</t>
  </si>
  <si>
    <t>Robert Richardson</t>
  </si>
  <si>
    <t>Brigitte Bond</t>
  </si>
  <si>
    <t>Robert Blume</t>
  </si>
  <si>
    <t>Mike Saban</t>
  </si>
  <si>
    <t>Maria Tot</t>
  </si>
  <si>
    <t>Lukas Hofer</t>
  </si>
  <si>
    <t>Question 5</t>
  </si>
  <si>
    <t>Who was the first to enter the company?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</si>
</sst>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4">
    <font>
      <sz val="10.0"/>
      <color rgb="FF000000"/>
      <name val="Roboto"/>
      <scheme val="minor"/>
    </font>
    <font>
      <b/>
      <sz val="11.0"/>
      <color theme="1"/>
      <name val="Roboto"/>
      <scheme val="minor"/>
    </font>
    <font>
      <color theme="1"/>
      <name val="Roboto"/>
      <scheme val="minor"/>
    </font>
    <font>
      <b/>
      <color theme="1"/>
      <name val="Robo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FFF9"/>
        <bgColor rgb="FFF4FFF9"/>
      </patternFill>
    </fill>
    <fill>
      <patternFill patternType="solid">
        <fgColor rgb="FFFFFAEC"/>
        <bgColor rgb="FFFFFAEC"/>
      </patternFill>
    </fill>
  </fills>
  <borders count="7">
    <border/>
    <border>
      <bottom style="thin">
        <color rgb="FF43434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2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2" fillId="3" fontId="2" numFmtId="3" xfId="0" applyAlignment="1" applyBorder="1" applyFill="1" applyFont="1" applyNumberFormat="1">
      <alignment readingOrder="0"/>
    </xf>
    <xf borderId="3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3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5" fillId="0" fontId="2" numFmtId="3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6" fillId="0" fontId="2" numFmtId="3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3" pivot="0" name="Q1-style">
      <tableStyleElement dxfId="1" type="headerRow"/>
      <tableStyleElement dxfId="2" type="firstRowStripe"/>
      <tableStyleElement dxfId="3" type="secondRowStripe"/>
    </tableStyle>
    <tableStyle count="3" pivot="0" name="Q2-style">
      <tableStyleElement dxfId="1" type="headerRow"/>
      <tableStyleElement dxfId="2" type="firstRowStripe"/>
      <tableStyleElement dxfId="3" type="secondRowStripe"/>
    </tableStyle>
    <tableStyle count="3" pivot="0" name="Q4-style">
      <tableStyleElement dxfId="1" type="headerRow"/>
      <tableStyleElement dxfId="2" type="firstRowStripe"/>
      <tableStyleElement dxfId="3" type="secondRowStripe"/>
    </tableStyle>
    <tableStyle count="3" pivot="0" name="Q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C53" displayName="Table_1" name="Table_1" id="1">
  <tableColumns count="3">
    <tableColumn name="Date" id="1"/>
    <tableColumn name="Sales Agent" id="2"/>
    <tableColumn name="Sales" id="3"/>
  </tableColumns>
  <tableStyleInfo name="Q1-style" showColumnStripes="0" showFirstColumn="1" showLastColumn="1" showRowStripes="1"/>
</table>
</file>

<file path=xl/tables/table2.xml><?xml version="1.0" encoding="utf-8"?>
<table xmlns="http://schemas.openxmlformats.org/spreadsheetml/2006/main" ref="A4:D70" displayName="Table_2" name="Table_2" id="2">
  <tableColumns count="4">
    <tableColumn name="Division" id="1"/>
    <tableColumn name="Region" id="2"/>
    <tableColumn name="App" id="3"/>
    <tableColumn name="Revenue" id="4"/>
  </tableColumns>
  <tableStyleInfo name="Q2-style" showColumnStripes="0" showFirstColumn="1" showLastColumn="1" showRowStripes="1"/>
</table>
</file>

<file path=xl/tables/table3.xml><?xml version="1.0" encoding="utf-8"?>
<table xmlns="http://schemas.openxmlformats.org/spreadsheetml/2006/main" ref="A4:C35" displayName="Table_3" name="Table_3" id="3">
  <tableColumns count="3">
    <tableColumn name="Name" id="1"/>
    <tableColumn name="Entry Date" id="2"/>
    <tableColumn name="Yearly Salary" id="3"/>
  </tableColumns>
  <tableStyleInfo name="Q4-style" showColumnStripes="0" showFirstColumn="1" showLastColumn="1" showRowStripes="1"/>
</table>
</file>

<file path=xl/tables/table4.xml><?xml version="1.0" encoding="utf-8"?>
<table xmlns="http://schemas.openxmlformats.org/spreadsheetml/2006/main" ref="A4:C35" displayName="Table_4" name="Table_4" id="4">
  <tableColumns count="3">
    <tableColumn name="Name" id="1"/>
    <tableColumn name="Entry Date" id="2"/>
    <tableColumn name="Yearly Salary" id="3"/>
  </tableColumns>
  <tableStyleInfo name="Q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7.63"/>
  </cols>
  <sheetData>
    <row r="1">
      <c r="A1" s="1" t="s">
        <v>0</v>
      </c>
      <c r="B1" s="2"/>
      <c r="C1" s="2"/>
      <c r="D1" s="2"/>
    </row>
    <row r="2">
      <c r="A2" s="3" t="s">
        <v>1</v>
      </c>
      <c r="D2" s="4">
        <f>sumifs(C5:C53,B5:B53,"Agent A")</f>
        <v>3623</v>
      </c>
    </row>
    <row r="4">
      <c r="A4" s="5" t="s">
        <v>2</v>
      </c>
      <c r="B4" s="5" t="s">
        <v>3</v>
      </c>
      <c r="C4" s="6" t="s">
        <v>4</v>
      </c>
    </row>
    <row r="5">
      <c r="A5" s="7">
        <v>43906.0</v>
      </c>
      <c r="B5" s="8" t="s">
        <v>5</v>
      </c>
      <c r="C5" s="8">
        <v>278.0</v>
      </c>
      <c r="E5" s="9"/>
    </row>
    <row r="6">
      <c r="A6" s="7">
        <v>43876.0</v>
      </c>
      <c r="B6" s="8" t="s">
        <v>5</v>
      </c>
      <c r="C6" s="8">
        <v>344.0</v>
      </c>
    </row>
    <row r="7">
      <c r="A7" s="7">
        <v>43905.0</v>
      </c>
      <c r="B7" s="8" t="s">
        <v>5</v>
      </c>
      <c r="C7" s="8">
        <v>250.0</v>
      </c>
    </row>
    <row r="8">
      <c r="A8" s="7">
        <v>43906.0</v>
      </c>
      <c r="B8" s="8" t="s">
        <v>6</v>
      </c>
      <c r="C8" s="8">
        <v>292.0</v>
      </c>
    </row>
    <row r="9">
      <c r="A9" s="7">
        <v>43877.0</v>
      </c>
      <c r="B9" s="8" t="s">
        <v>7</v>
      </c>
      <c r="C9" s="8">
        <v>200.0</v>
      </c>
    </row>
    <row r="10">
      <c r="A10" s="7">
        <v>43845.0</v>
      </c>
      <c r="B10" s="8" t="s">
        <v>5</v>
      </c>
      <c r="C10" s="8">
        <v>305.0</v>
      </c>
    </row>
    <row r="11">
      <c r="A11" s="7">
        <v>43845.0</v>
      </c>
      <c r="B11" s="8" t="s">
        <v>8</v>
      </c>
      <c r="C11" s="8">
        <v>279.0</v>
      </c>
    </row>
    <row r="12">
      <c r="A12" s="7">
        <v>43936.0</v>
      </c>
      <c r="B12" s="8" t="s">
        <v>7</v>
      </c>
      <c r="C12" s="8">
        <v>272.0</v>
      </c>
    </row>
    <row r="13">
      <c r="A13" s="7">
        <v>43937.0</v>
      </c>
      <c r="B13" s="8" t="s">
        <v>8</v>
      </c>
      <c r="C13" s="8">
        <v>400.0</v>
      </c>
    </row>
    <row r="14">
      <c r="A14" s="7">
        <v>43877.0</v>
      </c>
      <c r="B14" s="8" t="s">
        <v>8</v>
      </c>
      <c r="C14" s="8">
        <v>380.0</v>
      </c>
    </row>
    <row r="15">
      <c r="A15" s="7">
        <v>43906.0</v>
      </c>
      <c r="B15" s="8" t="s">
        <v>5</v>
      </c>
      <c r="C15" s="8">
        <v>229.0</v>
      </c>
    </row>
    <row r="16">
      <c r="A16" s="7">
        <v>43906.0</v>
      </c>
      <c r="B16" s="8" t="s">
        <v>7</v>
      </c>
      <c r="C16" s="8">
        <v>280.0</v>
      </c>
    </row>
    <row r="17">
      <c r="A17" s="7">
        <v>43877.0</v>
      </c>
      <c r="B17" s="8" t="s">
        <v>7</v>
      </c>
      <c r="C17" s="8">
        <v>333.0</v>
      </c>
    </row>
    <row r="18">
      <c r="A18" s="7">
        <v>43937.0</v>
      </c>
      <c r="B18" s="8" t="s">
        <v>5</v>
      </c>
      <c r="C18" s="8">
        <v>202.0</v>
      </c>
    </row>
    <row r="19">
      <c r="A19" s="7">
        <v>43876.0</v>
      </c>
      <c r="B19" s="8" t="s">
        <v>6</v>
      </c>
      <c r="C19" s="8">
        <v>336.0</v>
      </c>
    </row>
    <row r="20">
      <c r="A20" s="7">
        <v>43846.0</v>
      </c>
      <c r="B20" s="8" t="s">
        <v>6</v>
      </c>
      <c r="C20" s="8">
        <v>372.0</v>
      </c>
    </row>
    <row r="21">
      <c r="A21" s="7">
        <v>43937.0</v>
      </c>
      <c r="B21" s="8" t="s">
        <v>8</v>
      </c>
      <c r="C21" s="8">
        <v>352.0</v>
      </c>
    </row>
    <row r="22">
      <c r="A22" s="7">
        <v>43905.0</v>
      </c>
      <c r="B22" s="8" t="s">
        <v>5</v>
      </c>
      <c r="C22" s="8">
        <v>242.0</v>
      </c>
    </row>
    <row r="23">
      <c r="A23" s="7">
        <v>43846.0</v>
      </c>
      <c r="B23" s="8" t="s">
        <v>6</v>
      </c>
      <c r="C23" s="8">
        <v>102.0</v>
      </c>
    </row>
    <row r="24">
      <c r="A24" s="7">
        <v>43846.0</v>
      </c>
      <c r="B24" s="8" t="s">
        <v>5</v>
      </c>
      <c r="C24" s="8">
        <v>346.0</v>
      </c>
    </row>
    <row r="25">
      <c r="A25" s="7">
        <v>43876.0</v>
      </c>
      <c r="B25" s="8" t="s">
        <v>7</v>
      </c>
      <c r="C25" s="8">
        <v>350.0</v>
      </c>
    </row>
    <row r="26">
      <c r="A26" s="7">
        <v>43905.0</v>
      </c>
      <c r="B26" s="8" t="s">
        <v>8</v>
      </c>
      <c r="C26" s="8">
        <v>192.0</v>
      </c>
    </row>
    <row r="27">
      <c r="A27" s="7">
        <v>43845.0</v>
      </c>
      <c r="B27" s="8" t="s">
        <v>7</v>
      </c>
      <c r="C27" s="8">
        <v>200.0</v>
      </c>
    </row>
    <row r="28">
      <c r="A28" s="7">
        <v>43846.0</v>
      </c>
      <c r="B28" s="8" t="s">
        <v>6</v>
      </c>
      <c r="C28" s="8">
        <v>339.0</v>
      </c>
    </row>
    <row r="29">
      <c r="A29" s="7">
        <v>43937.0</v>
      </c>
      <c r="B29" s="8" t="s">
        <v>7</v>
      </c>
      <c r="C29" s="8">
        <v>168.0</v>
      </c>
    </row>
    <row r="30">
      <c r="A30" s="7">
        <v>43846.0</v>
      </c>
      <c r="B30" s="8" t="s">
        <v>7</v>
      </c>
      <c r="C30" s="8">
        <v>50.0</v>
      </c>
    </row>
    <row r="31">
      <c r="A31" s="7">
        <v>43877.0</v>
      </c>
      <c r="B31" s="8" t="s">
        <v>7</v>
      </c>
      <c r="C31" s="8">
        <v>350.0</v>
      </c>
    </row>
    <row r="32">
      <c r="A32" s="7">
        <v>43846.0</v>
      </c>
      <c r="B32" s="8" t="s">
        <v>7</v>
      </c>
      <c r="C32" s="8">
        <v>300.0</v>
      </c>
    </row>
    <row r="33">
      <c r="A33" s="7">
        <v>43876.0</v>
      </c>
      <c r="B33" s="8" t="s">
        <v>8</v>
      </c>
      <c r="C33" s="8">
        <v>144.0</v>
      </c>
    </row>
    <row r="34">
      <c r="A34" s="7">
        <v>43845.0</v>
      </c>
      <c r="B34" s="8" t="s">
        <v>6</v>
      </c>
      <c r="C34" s="8">
        <v>350.0</v>
      </c>
    </row>
    <row r="35">
      <c r="A35" s="7">
        <v>43846.0</v>
      </c>
      <c r="B35" s="8" t="s">
        <v>8</v>
      </c>
      <c r="C35" s="8">
        <v>320.0</v>
      </c>
    </row>
    <row r="36">
      <c r="A36" s="7">
        <v>43845.0</v>
      </c>
      <c r="B36" s="8" t="s">
        <v>6</v>
      </c>
      <c r="C36" s="8">
        <v>280.0</v>
      </c>
    </row>
    <row r="37">
      <c r="A37" s="7">
        <v>43936.0</v>
      </c>
      <c r="B37" s="8" t="s">
        <v>5</v>
      </c>
      <c r="C37" s="8">
        <v>324.0</v>
      </c>
    </row>
    <row r="38">
      <c r="A38" s="7">
        <v>43936.0</v>
      </c>
      <c r="B38" s="8" t="s">
        <v>8</v>
      </c>
      <c r="C38" s="8">
        <v>155.0</v>
      </c>
    </row>
    <row r="39">
      <c r="A39" s="7">
        <v>43877.0</v>
      </c>
      <c r="B39" s="8" t="s">
        <v>5</v>
      </c>
      <c r="C39" s="8">
        <v>218.0</v>
      </c>
    </row>
    <row r="40">
      <c r="A40" s="7">
        <v>43905.0</v>
      </c>
      <c r="B40" s="8" t="s">
        <v>6</v>
      </c>
      <c r="C40" s="8">
        <v>368.0</v>
      </c>
    </row>
    <row r="41">
      <c r="A41" s="7">
        <v>43906.0</v>
      </c>
      <c r="B41" s="8" t="s">
        <v>7</v>
      </c>
      <c r="C41" s="8">
        <v>320.0</v>
      </c>
    </row>
    <row r="42">
      <c r="A42" s="7">
        <v>43906.0</v>
      </c>
      <c r="B42" s="8" t="s">
        <v>6</v>
      </c>
      <c r="C42" s="8">
        <v>164.0</v>
      </c>
    </row>
    <row r="43">
      <c r="A43" s="7">
        <v>43876.0</v>
      </c>
      <c r="B43" s="8" t="s">
        <v>7</v>
      </c>
      <c r="C43" s="8">
        <v>90.0</v>
      </c>
    </row>
    <row r="44">
      <c r="A44" s="7">
        <v>43905.0</v>
      </c>
      <c r="B44" s="8" t="s">
        <v>7</v>
      </c>
      <c r="C44" s="8">
        <v>410.0</v>
      </c>
    </row>
    <row r="45">
      <c r="A45" s="7">
        <v>43937.0</v>
      </c>
      <c r="B45" s="8" t="s">
        <v>5</v>
      </c>
      <c r="C45" s="8">
        <v>243.0</v>
      </c>
    </row>
    <row r="46">
      <c r="A46" s="7">
        <v>43906.0</v>
      </c>
      <c r="B46" s="8" t="s">
        <v>5</v>
      </c>
      <c r="C46" s="8">
        <v>294.0</v>
      </c>
    </row>
    <row r="47">
      <c r="A47" s="7">
        <v>43877.0</v>
      </c>
      <c r="B47" s="8" t="s">
        <v>6</v>
      </c>
      <c r="C47" s="8">
        <v>179.0</v>
      </c>
    </row>
    <row r="48">
      <c r="A48" s="7">
        <v>43936.0</v>
      </c>
      <c r="B48" s="8" t="s">
        <v>6</v>
      </c>
      <c r="C48" s="8">
        <v>356.0</v>
      </c>
    </row>
    <row r="49">
      <c r="A49" s="7">
        <v>43877.0</v>
      </c>
      <c r="B49" s="8" t="s">
        <v>6</v>
      </c>
      <c r="C49" s="8">
        <v>168.0</v>
      </c>
    </row>
    <row r="50">
      <c r="A50" s="7">
        <v>43906.0</v>
      </c>
      <c r="B50" s="8" t="s">
        <v>8</v>
      </c>
      <c r="C50" s="8">
        <v>160.0</v>
      </c>
    </row>
    <row r="51">
      <c r="A51" s="7">
        <v>43936.0</v>
      </c>
      <c r="B51" s="8" t="s">
        <v>7</v>
      </c>
      <c r="C51" s="8">
        <v>300.0</v>
      </c>
    </row>
    <row r="52">
      <c r="A52" s="7">
        <v>43906.0</v>
      </c>
      <c r="B52" s="8" t="s">
        <v>5</v>
      </c>
      <c r="C52" s="8">
        <v>182.0</v>
      </c>
    </row>
    <row r="53">
      <c r="A53" s="7">
        <v>43905.0</v>
      </c>
      <c r="B53" s="8" t="s">
        <v>5</v>
      </c>
      <c r="C53" s="8">
        <v>292.0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9.63"/>
  </cols>
  <sheetData>
    <row r="1">
      <c r="A1" s="1" t="s">
        <v>9</v>
      </c>
      <c r="B1" s="2"/>
      <c r="C1" s="2"/>
      <c r="D1" s="2"/>
    </row>
    <row r="2">
      <c r="A2" s="3" t="s">
        <v>10</v>
      </c>
      <c r="D2" s="4">
        <f>IFERROR(__xludf.DUMMYFUNCTION("COUNTUNIQUE(C5:C70)"),34.0)</f>
        <v>34</v>
      </c>
    </row>
    <row r="4">
      <c r="A4" s="6" t="s">
        <v>11</v>
      </c>
      <c r="B4" s="6" t="s">
        <v>12</v>
      </c>
      <c r="C4" s="6" t="s">
        <v>13</v>
      </c>
      <c r="D4" s="6" t="s">
        <v>14</v>
      </c>
    </row>
    <row r="5">
      <c r="A5" s="10" t="s">
        <v>15</v>
      </c>
      <c r="B5" s="10" t="s">
        <v>16</v>
      </c>
      <c r="C5" s="10" t="s">
        <v>17</v>
      </c>
      <c r="D5" s="10">
        <v>4378.0</v>
      </c>
      <c r="E5" s="9"/>
    </row>
    <row r="6">
      <c r="A6" s="10" t="s">
        <v>15</v>
      </c>
      <c r="B6" s="10" t="s">
        <v>16</v>
      </c>
      <c r="C6" s="10" t="s">
        <v>18</v>
      </c>
      <c r="D6" s="10">
        <v>5254.0</v>
      </c>
    </row>
    <row r="7">
      <c r="A7" s="10" t="s">
        <v>15</v>
      </c>
      <c r="B7" s="10" t="s">
        <v>16</v>
      </c>
      <c r="C7" s="10" t="s">
        <v>19</v>
      </c>
      <c r="D7" s="10">
        <v>6130.0</v>
      </c>
    </row>
    <row r="8">
      <c r="A8" s="10" t="s">
        <v>15</v>
      </c>
      <c r="B8" s="10" t="s">
        <v>16</v>
      </c>
      <c r="C8" s="10" t="s">
        <v>20</v>
      </c>
      <c r="D8" s="10">
        <v>7443.0</v>
      </c>
    </row>
    <row r="9">
      <c r="A9" s="10" t="s">
        <v>15</v>
      </c>
      <c r="B9" s="10" t="s">
        <v>16</v>
      </c>
      <c r="C9" s="10" t="s">
        <v>21</v>
      </c>
      <c r="D9" s="10">
        <v>13135.0</v>
      </c>
    </row>
    <row r="10">
      <c r="A10" s="10" t="s">
        <v>15</v>
      </c>
      <c r="B10" s="10" t="s">
        <v>16</v>
      </c>
      <c r="C10" s="10" t="s">
        <v>22</v>
      </c>
      <c r="D10" s="10">
        <v>7443.0</v>
      </c>
    </row>
    <row r="11">
      <c r="A11" s="10" t="s">
        <v>15</v>
      </c>
      <c r="B11" s="10" t="s">
        <v>23</v>
      </c>
      <c r="C11" s="10" t="s">
        <v>17</v>
      </c>
      <c r="D11" s="10">
        <v>15890.0</v>
      </c>
    </row>
    <row r="12">
      <c r="A12" s="10" t="s">
        <v>15</v>
      </c>
      <c r="B12" s="10" t="s">
        <v>23</v>
      </c>
      <c r="C12" s="10" t="s">
        <v>18</v>
      </c>
      <c r="D12" s="10">
        <v>11917.0</v>
      </c>
    </row>
    <row r="13">
      <c r="A13" s="10" t="s">
        <v>15</v>
      </c>
      <c r="B13" s="10" t="s">
        <v>23</v>
      </c>
      <c r="C13" s="10" t="s">
        <v>19</v>
      </c>
      <c r="D13" s="10">
        <v>1490.0</v>
      </c>
    </row>
    <row r="14">
      <c r="A14" s="10" t="s">
        <v>15</v>
      </c>
      <c r="B14" s="10" t="s">
        <v>23</v>
      </c>
      <c r="C14" s="10" t="s">
        <v>24</v>
      </c>
      <c r="D14" s="10">
        <v>497.0</v>
      </c>
    </row>
    <row r="15">
      <c r="A15" s="10" t="s">
        <v>15</v>
      </c>
      <c r="B15" s="10" t="s">
        <v>23</v>
      </c>
      <c r="C15" s="10" t="s">
        <v>22</v>
      </c>
      <c r="D15" s="10">
        <v>3476.0</v>
      </c>
    </row>
    <row r="16">
      <c r="A16" s="10" t="s">
        <v>15</v>
      </c>
      <c r="B16" s="10" t="s">
        <v>25</v>
      </c>
      <c r="C16" s="10" t="s">
        <v>17</v>
      </c>
      <c r="D16" s="10">
        <v>9267.0</v>
      </c>
    </row>
    <row r="17">
      <c r="A17" s="10" t="s">
        <v>15</v>
      </c>
      <c r="B17" s="10" t="s">
        <v>25</v>
      </c>
      <c r="C17" s="10" t="s">
        <v>18</v>
      </c>
      <c r="D17" s="10">
        <v>9731.0</v>
      </c>
    </row>
    <row r="18">
      <c r="A18" s="10" t="s">
        <v>15</v>
      </c>
      <c r="B18" s="10" t="s">
        <v>25</v>
      </c>
      <c r="C18" s="10" t="s">
        <v>26</v>
      </c>
      <c r="D18" s="10">
        <v>927.0</v>
      </c>
    </row>
    <row r="19">
      <c r="A19" s="10" t="s">
        <v>15</v>
      </c>
      <c r="B19" s="10" t="s">
        <v>25</v>
      </c>
      <c r="C19" s="10" t="s">
        <v>27</v>
      </c>
      <c r="D19" s="10">
        <v>463.0</v>
      </c>
    </row>
    <row r="20">
      <c r="A20" s="10" t="s">
        <v>15</v>
      </c>
      <c r="B20" s="10" t="s">
        <v>25</v>
      </c>
      <c r="C20" s="10" t="s">
        <v>24</v>
      </c>
      <c r="D20" s="10">
        <v>463.0</v>
      </c>
    </row>
    <row r="21">
      <c r="A21" s="10" t="s">
        <v>15</v>
      </c>
      <c r="B21" s="10" t="s">
        <v>25</v>
      </c>
      <c r="C21" s="10" t="s">
        <v>22</v>
      </c>
      <c r="D21" s="10">
        <v>2317.0</v>
      </c>
    </row>
    <row r="22">
      <c r="A22" s="10" t="s">
        <v>15</v>
      </c>
      <c r="B22" s="10" t="s">
        <v>28</v>
      </c>
      <c r="C22" s="10" t="s">
        <v>17</v>
      </c>
      <c r="D22" s="10">
        <v>5361.0</v>
      </c>
    </row>
    <row r="23">
      <c r="A23" s="10" t="s">
        <v>15</v>
      </c>
      <c r="B23" s="10" t="s">
        <v>28</v>
      </c>
      <c r="C23" s="10" t="s">
        <v>18</v>
      </c>
      <c r="D23" s="10">
        <v>5808.0</v>
      </c>
    </row>
    <row r="24">
      <c r="A24" s="10" t="s">
        <v>15</v>
      </c>
      <c r="B24" s="10" t="s">
        <v>28</v>
      </c>
      <c r="C24" s="10" t="s">
        <v>24</v>
      </c>
      <c r="D24" s="10">
        <v>4468.0</v>
      </c>
    </row>
    <row r="25">
      <c r="A25" s="10" t="s">
        <v>15</v>
      </c>
      <c r="B25" s="10" t="s">
        <v>28</v>
      </c>
      <c r="C25" s="10" t="s">
        <v>22</v>
      </c>
      <c r="D25" s="10">
        <v>1340.0</v>
      </c>
    </row>
    <row r="26">
      <c r="A26" s="10" t="s">
        <v>15</v>
      </c>
      <c r="B26" s="10" t="s">
        <v>29</v>
      </c>
      <c r="C26" s="10" t="s">
        <v>17</v>
      </c>
      <c r="D26" s="10">
        <v>5108.0</v>
      </c>
    </row>
    <row r="27">
      <c r="A27" s="10" t="s">
        <v>30</v>
      </c>
      <c r="B27" s="10" t="s">
        <v>16</v>
      </c>
      <c r="C27" s="10" t="s">
        <v>31</v>
      </c>
      <c r="D27" s="10">
        <v>3513.0</v>
      </c>
    </row>
    <row r="28">
      <c r="A28" s="10" t="s">
        <v>30</v>
      </c>
      <c r="B28" s="10" t="s">
        <v>16</v>
      </c>
      <c r="C28" s="10" t="s">
        <v>32</v>
      </c>
      <c r="D28" s="10">
        <v>2928.0</v>
      </c>
    </row>
    <row r="29">
      <c r="A29" s="10" t="s">
        <v>30</v>
      </c>
      <c r="B29" s="10" t="s">
        <v>25</v>
      </c>
      <c r="C29" s="10" t="s">
        <v>33</v>
      </c>
      <c r="D29" s="10">
        <v>911.0</v>
      </c>
    </row>
    <row r="30">
      <c r="A30" s="10" t="s">
        <v>30</v>
      </c>
      <c r="B30" s="10" t="s">
        <v>25</v>
      </c>
      <c r="C30" s="10" t="s">
        <v>34</v>
      </c>
      <c r="D30" s="10">
        <v>2277.0</v>
      </c>
    </row>
    <row r="31">
      <c r="A31" s="10" t="s">
        <v>30</v>
      </c>
      <c r="B31" s="10" t="s">
        <v>25</v>
      </c>
      <c r="C31" s="10" t="s">
        <v>35</v>
      </c>
      <c r="D31" s="10">
        <v>3188.0</v>
      </c>
    </row>
    <row r="32">
      <c r="A32" s="10" t="s">
        <v>30</v>
      </c>
      <c r="B32" s="10" t="s">
        <v>25</v>
      </c>
      <c r="C32" s="10" t="s">
        <v>36</v>
      </c>
      <c r="D32" s="10">
        <v>3643.0</v>
      </c>
    </row>
    <row r="33">
      <c r="A33" s="10" t="s">
        <v>30</v>
      </c>
      <c r="B33" s="10" t="s">
        <v>25</v>
      </c>
      <c r="C33" s="10" t="s">
        <v>31</v>
      </c>
      <c r="D33" s="10">
        <v>5465.0</v>
      </c>
    </row>
    <row r="34">
      <c r="A34" s="10" t="s">
        <v>30</v>
      </c>
      <c r="B34" s="10" t="s">
        <v>25</v>
      </c>
      <c r="C34" s="10" t="s">
        <v>37</v>
      </c>
      <c r="D34" s="10">
        <v>5465.0</v>
      </c>
    </row>
    <row r="35">
      <c r="A35" s="10" t="s">
        <v>30</v>
      </c>
      <c r="B35" s="10" t="s">
        <v>25</v>
      </c>
      <c r="C35" s="10" t="s">
        <v>38</v>
      </c>
      <c r="D35" s="10">
        <v>4554.0</v>
      </c>
    </row>
    <row r="36">
      <c r="A36" s="10" t="s">
        <v>30</v>
      </c>
      <c r="B36" s="10" t="s">
        <v>25</v>
      </c>
      <c r="C36" s="10" t="s">
        <v>39</v>
      </c>
      <c r="D36" s="10">
        <v>455.0</v>
      </c>
    </row>
    <row r="37">
      <c r="A37" s="10" t="s">
        <v>30</v>
      </c>
      <c r="B37" s="10" t="s">
        <v>25</v>
      </c>
      <c r="C37" s="10" t="s">
        <v>40</v>
      </c>
      <c r="D37" s="10">
        <v>911.0</v>
      </c>
    </row>
    <row r="38">
      <c r="A38" s="10" t="s">
        <v>30</v>
      </c>
      <c r="B38" s="10" t="s">
        <v>25</v>
      </c>
      <c r="C38" s="10" t="s">
        <v>41</v>
      </c>
      <c r="D38" s="10">
        <v>10930.0</v>
      </c>
    </row>
    <row r="39">
      <c r="A39" s="10" t="s">
        <v>30</v>
      </c>
      <c r="B39" s="10" t="s">
        <v>28</v>
      </c>
      <c r="C39" s="10" t="s">
        <v>33</v>
      </c>
      <c r="D39" s="10">
        <v>1708.0</v>
      </c>
    </row>
    <row r="40">
      <c r="A40" s="10" t="s">
        <v>30</v>
      </c>
      <c r="B40" s="10" t="s">
        <v>28</v>
      </c>
      <c r="C40" s="10" t="s">
        <v>34</v>
      </c>
      <c r="D40" s="10">
        <v>683.0</v>
      </c>
    </row>
    <row r="41">
      <c r="A41" s="10" t="s">
        <v>30</v>
      </c>
      <c r="B41" s="10" t="s">
        <v>28</v>
      </c>
      <c r="C41" s="10" t="s">
        <v>35</v>
      </c>
      <c r="D41" s="10">
        <v>683.0</v>
      </c>
    </row>
    <row r="42">
      <c r="A42" s="10" t="s">
        <v>30</v>
      </c>
      <c r="B42" s="10" t="s">
        <v>28</v>
      </c>
      <c r="C42" s="10" t="s">
        <v>36</v>
      </c>
      <c r="D42" s="10">
        <v>683.0</v>
      </c>
    </row>
    <row r="43">
      <c r="A43" s="10" t="s">
        <v>30</v>
      </c>
      <c r="B43" s="10" t="s">
        <v>28</v>
      </c>
      <c r="C43" s="10" t="s">
        <v>31</v>
      </c>
      <c r="D43" s="10">
        <v>6148.0</v>
      </c>
    </row>
    <row r="44">
      <c r="A44" s="10" t="s">
        <v>30</v>
      </c>
      <c r="B44" s="10" t="s">
        <v>28</v>
      </c>
      <c r="C44" s="10" t="s">
        <v>32</v>
      </c>
      <c r="D44" s="10">
        <v>1025.0</v>
      </c>
    </row>
    <row r="45">
      <c r="A45" s="10" t="s">
        <v>30</v>
      </c>
      <c r="B45" s="10" t="s">
        <v>28</v>
      </c>
      <c r="C45" s="10" t="s">
        <v>42</v>
      </c>
      <c r="D45" s="10">
        <v>683.0</v>
      </c>
    </row>
    <row r="46">
      <c r="A46" s="10" t="s">
        <v>30</v>
      </c>
      <c r="B46" s="10" t="s">
        <v>28</v>
      </c>
      <c r="C46" s="10" t="s">
        <v>43</v>
      </c>
      <c r="D46" s="10">
        <v>1366.0</v>
      </c>
    </row>
    <row r="47">
      <c r="A47" s="10" t="s">
        <v>30</v>
      </c>
      <c r="B47" s="10" t="s">
        <v>28</v>
      </c>
      <c r="C47" s="10" t="s">
        <v>44</v>
      </c>
      <c r="D47" s="10">
        <v>1708.0</v>
      </c>
    </row>
    <row r="48">
      <c r="A48" s="10" t="s">
        <v>30</v>
      </c>
      <c r="B48" s="10" t="s">
        <v>28</v>
      </c>
      <c r="C48" s="10" t="s">
        <v>45</v>
      </c>
      <c r="D48" s="10">
        <v>6148.0</v>
      </c>
    </row>
    <row r="49">
      <c r="A49" s="10" t="s">
        <v>30</v>
      </c>
      <c r="B49" s="10" t="s">
        <v>28</v>
      </c>
      <c r="C49" s="10" t="s">
        <v>37</v>
      </c>
      <c r="D49" s="10">
        <v>7514.0</v>
      </c>
    </row>
    <row r="50">
      <c r="A50" s="10" t="s">
        <v>30</v>
      </c>
      <c r="B50" s="10" t="s">
        <v>28</v>
      </c>
      <c r="C50" s="10" t="s">
        <v>38</v>
      </c>
      <c r="D50" s="10">
        <v>683.0</v>
      </c>
    </row>
    <row r="51">
      <c r="A51" s="10" t="s">
        <v>30</v>
      </c>
      <c r="B51" s="10" t="s">
        <v>28</v>
      </c>
      <c r="C51" s="10" t="s">
        <v>39</v>
      </c>
      <c r="D51" s="10">
        <v>342.0</v>
      </c>
    </row>
    <row r="52">
      <c r="A52" s="10" t="s">
        <v>30</v>
      </c>
      <c r="B52" s="10" t="s">
        <v>28</v>
      </c>
      <c r="C52" s="10" t="s">
        <v>40</v>
      </c>
      <c r="D52" s="10">
        <v>3416.0</v>
      </c>
    </row>
    <row r="53">
      <c r="A53" s="10" t="s">
        <v>30</v>
      </c>
      <c r="B53" s="10" t="s">
        <v>28</v>
      </c>
      <c r="C53" s="10" t="s">
        <v>41</v>
      </c>
      <c r="D53" s="10">
        <v>1366.0</v>
      </c>
    </row>
    <row r="54">
      <c r="A54" s="10" t="s">
        <v>30</v>
      </c>
      <c r="B54" s="10" t="s">
        <v>29</v>
      </c>
      <c r="C54" s="10" t="s">
        <v>33</v>
      </c>
      <c r="D54" s="10">
        <v>1220.0</v>
      </c>
    </row>
    <row r="55">
      <c r="A55" s="10" t="s">
        <v>30</v>
      </c>
      <c r="B55" s="10" t="s">
        <v>29</v>
      </c>
      <c r="C55" s="10" t="s">
        <v>34</v>
      </c>
      <c r="D55" s="10">
        <v>2732.0</v>
      </c>
    </row>
    <row r="56">
      <c r="A56" s="10" t="s">
        <v>30</v>
      </c>
      <c r="B56" s="10" t="s">
        <v>29</v>
      </c>
      <c r="C56" s="10" t="s">
        <v>35</v>
      </c>
      <c r="D56" s="10">
        <v>9563.0</v>
      </c>
    </row>
    <row r="57">
      <c r="A57" s="10" t="s">
        <v>30</v>
      </c>
      <c r="B57" s="10" t="s">
        <v>29</v>
      </c>
      <c r="C57" s="10" t="s">
        <v>39</v>
      </c>
      <c r="D57" s="10">
        <v>683.0</v>
      </c>
    </row>
    <row r="58">
      <c r="A58" s="10" t="s">
        <v>30</v>
      </c>
      <c r="B58" s="10" t="s">
        <v>29</v>
      </c>
      <c r="C58" s="10" t="s">
        <v>40</v>
      </c>
      <c r="D58" s="10">
        <v>12979.0</v>
      </c>
    </row>
    <row r="59">
      <c r="A59" s="10" t="s">
        <v>30</v>
      </c>
      <c r="B59" s="10" t="s">
        <v>29</v>
      </c>
      <c r="C59" s="10" t="s">
        <v>41</v>
      </c>
      <c r="D59" s="10">
        <v>5465.0</v>
      </c>
    </row>
    <row r="60">
      <c r="A60" s="10" t="s">
        <v>46</v>
      </c>
      <c r="B60" s="10" t="s">
        <v>23</v>
      </c>
      <c r="C60" s="10" t="s">
        <v>47</v>
      </c>
      <c r="D60" s="10">
        <v>684.0</v>
      </c>
    </row>
    <row r="61">
      <c r="A61" s="10" t="s">
        <v>46</v>
      </c>
      <c r="B61" s="10" t="s">
        <v>23</v>
      </c>
      <c r="C61" s="10" t="s">
        <v>48</v>
      </c>
      <c r="D61" s="10">
        <v>4104.0</v>
      </c>
    </row>
    <row r="62">
      <c r="A62" s="10" t="s">
        <v>46</v>
      </c>
      <c r="B62" s="10" t="s">
        <v>23</v>
      </c>
      <c r="C62" s="10" t="s">
        <v>49</v>
      </c>
      <c r="D62" s="10">
        <v>0.0</v>
      </c>
    </row>
    <row r="63">
      <c r="A63" s="10" t="s">
        <v>46</v>
      </c>
      <c r="B63" s="10" t="s">
        <v>23</v>
      </c>
      <c r="C63" s="10" t="s">
        <v>50</v>
      </c>
      <c r="D63" s="10">
        <v>1710.0</v>
      </c>
    </row>
    <row r="64">
      <c r="A64" s="10" t="s">
        <v>46</v>
      </c>
      <c r="B64" s="10" t="s">
        <v>23</v>
      </c>
      <c r="C64" s="10" t="s">
        <v>51</v>
      </c>
      <c r="D64" s="10">
        <v>684.0</v>
      </c>
    </row>
    <row r="65">
      <c r="A65" s="10" t="s">
        <v>46</v>
      </c>
      <c r="B65" s="10" t="s">
        <v>23</v>
      </c>
      <c r="C65" s="10" t="s">
        <v>52</v>
      </c>
      <c r="D65" s="10">
        <v>684.0</v>
      </c>
    </row>
    <row r="66">
      <c r="A66" s="10" t="s">
        <v>46</v>
      </c>
      <c r="B66" s="10" t="s">
        <v>28</v>
      </c>
      <c r="C66" s="10" t="s">
        <v>52</v>
      </c>
      <c r="D66" s="10">
        <v>9723.0</v>
      </c>
    </row>
    <row r="67">
      <c r="A67" s="10" t="s">
        <v>46</v>
      </c>
      <c r="B67" s="10" t="s">
        <v>29</v>
      </c>
      <c r="C67" s="10" t="s">
        <v>53</v>
      </c>
      <c r="D67" s="10">
        <v>2508.0</v>
      </c>
    </row>
    <row r="68">
      <c r="A68" s="10" t="s">
        <v>46</v>
      </c>
      <c r="B68" s="10" t="s">
        <v>29</v>
      </c>
      <c r="C68" s="10" t="s">
        <v>54</v>
      </c>
      <c r="D68" s="10">
        <v>0.0</v>
      </c>
    </row>
    <row r="69">
      <c r="A69" s="10" t="s">
        <v>46</v>
      </c>
      <c r="B69" s="10" t="s">
        <v>29</v>
      </c>
      <c r="C69" s="10" t="s">
        <v>55</v>
      </c>
      <c r="D69" s="10">
        <v>0.0</v>
      </c>
    </row>
    <row r="70">
      <c r="A70" s="10" t="s">
        <v>46</v>
      </c>
      <c r="B70" s="10" t="s">
        <v>29</v>
      </c>
      <c r="C70" s="10" t="s">
        <v>56</v>
      </c>
      <c r="D70" s="10">
        <v>7105.0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9.63"/>
  </cols>
  <sheetData>
    <row r="1">
      <c r="A1" s="1" t="s">
        <v>57</v>
      </c>
      <c r="B1" s="2"/>
      <c r="C1" s="2"/>
      <c r="D1" s="2"/>
    </row>
    <row r="2">
      <c r="A2" s="3" t="s">
        <v>58</v>
      </c>
    </row>
    <row r="3">
      <c r="A3" s="11">
        <v>5000.0</v>
      </c>
    </row>
    <row r="4">
      <c r="A4" s="12" t="s">
        <v>11</v>
      </c>
      <c r="B4" s="12" t="s">
        <v>12</v>
      </c>
      <c r="C4" s="12" t="s">
        <v>13</v>
      </c>
      <c r="D4" s="12" t="s">
        <v>14</v>
      </c>
    </row>
    <row r="5">
      <c r="A5" s="13" t="s">
        <v>15</v>
      </c>
      <c r="B5" s="13" t="s">
        <v>16</v>
      </c>
      <c r="C5" s="13" t="s">
        <v>17</v>
      </c>
      <c r="D5" s="14">
        <v>4378.0</v>
      </c>
      <c r="E5" s="9"/>
    </row>
    <row r="6">
      <c r="A6" s="15" t="s">
        <v>15</v>
      </c>
      <c r="B6" s="15" t="s">
        <v>16</v>
      </c>
      <c r="C6" s="15" t="s">
        <v>18</v>
      </c>
      <c r="D6" s="16">
        <v>5254.0</v>
      </c>
    </row>
    <row r="7">
      <c r="A7" s="15" t="s">
        <v>15</v>
      </c>
      <c r="B7" s="15" t="s">
        <v>16</v>
      </c>
      <c r="C7" s="15" t="s">
        <v>19</v>
      </c>
      <c r="D7" s="16">
        <v>6130.0</v>
      </c>
    </row>
    <row r="8">
      <c r="A8" s="15" t="s">
        <v>15</v>
      </c>
      <c r="B8" s="15" t="s">
        <v>16</v>
      </c>
      <c r="C8" s="15" t="s">
        <v>20</v>
      </c>
      <c r="D8" s="16">
        <v>7443.0</v>
      </c>
    </row>
    <row r="9">
      <c r="A9" s="15" t="s">
        <v>15</v>
      </c>
      <c r="B9" s="15" t="s">
        <v>16</v>
      </c>
      <c r="C9" s="15" t="s">
        <v>21</v>
      </c>
      <c r="D9" s="16">
        <v>13135.0</v>
      </c>
    </row>
    <row r="10">
      <c r="A10" s="15" t="s">
        <v>15</v>
      </c>
      <c r="B10" s="15" t="s">
        <v>16</v>
      </c>
      <c r="C10" s="15" t="s">
        <v>22</v>
      </c>
      <c r="D10" s="16">
        <v>7443.0</v>
      </c>
    </row>
    <row r="11">
      <c r="A11" s="15" t="s">
        <v>15</v>
      </c>
      <c r="B11" s="15" t="s">
        <v>23</v>
      </c>
      <c r="C11" s="15" t="s">
        <v>17</v>
      </c>
      <c r="D11" s="16">
        <v>15890.0</v>
      </c>
    </row>
    <row r="12">
      <c r="A12" s="15" t="s">
        <v>15</v>
      </c>
      <c r="B12" s="15" t="s">
        <v>23</v>
      </c>
      <c r="C12" s="15" t="s">
        <v>18</v>
      </c>
      <c r="D12" s="16">
        <v>11917.0</v>
      </c>
    </row>
    <row r="13">
      <c r="A13" s="15" t="s">
        <v>15</v>
      </c>
      <c r="B13" s="15" t="s">
        <v>23</v>
      </c>
      <c r="C13" s="15" t="s">
        <v>19</v>
      </c>
      <c r="D13" s="16">
        <v>1490.0</v>
      </c>
    </row>
    <row r="14">
      <c r="A14" s="15" t="s">
        <v>15</v>
      </c>
      <c r="B14" s="15" t="s">
        <v>23</v>
      </c>
      <c r="C14" s="15" t="s">
        <v>24</v>
      </c>
      <c r="D14" s="16">
        <v>497.0</v>
      </c>
    </row>
    <row r="15">
      <c r="A15" s="15" t="s">
        <v>15</v>
      </c>
      <c r="B15" s="15" t="s">
        <v>23</v>
      </c>
      <c r="C15" s="15" t="s">
        <v>22</v>
      </c>
      <c r="D15" s="16">
        <v>3476.0</v>
      </c>
    </row>
    <row r="16">
      <c r="A16" s="15" t="s">
        <v>15</v>
      </c>
      <c r="B16" s="15" t="s">
        <v>25</v>
      </c>
      <c r="C16" s="15" t="s">
        <v>17</v>
      </c>
      <c r="D16" s="16">
        <v>9267.0</v>
      </c>
    </row>
    <row r="17">
      <c r="A17" s="15" t="s">
        <v>15</v>
      </c>
      <c r="B17" s="15" t="s">
        <v>25</v>
      </c>
      <c r="C17" s="15" t="s">
        <v>18</v>
      </c>
      <c r="D17" s="16">
        <v>9731.0</v>
      </c>
    </row>
    <row r="18">
      <c r="A18" s="15" t="s">
        <v>15</v>
      </c>
      <c r="B18" s="15" t="s">
        <v>25</v>
      </c>
      <c r="C18" s="15" t="s">
        <v>26</v>
      </c>
      <c r="D18" s="16">
        <v>927.0</v>
      </c>
    </row>
    <row r="19">
      <c r="A19" s="15" t="s">
        <v>15</v>
      </c>
      <c r="B19" s="15" t="s">
        <v>25</v>
      </c>
      <c r="C19" s="15" t="s">
        <v>27</v>
      </c>
      <c r="D19" s="16">
        <v>463.0</v>
      </c>
    </row>
    <row r="20">
      <c r="A20" s="15" t="s">
        <v>15</v>
      </c>
      <c r="B20" s="15" t="s">
        <v>25</v>
      </c>
      <c r="C20" s="15" t="s">
        <v>24</v>
      </c>
      <c r="D20" s="16">
        <v>463.0</v>
      </c>
    </row>
    <row r="21">
      <c r="A21" s="15" t="s">
        <v>15</v>
      </c>
      <c r="B21" s="15" t="s">
        <v>25</v>
      </c>
      <c r="C21" s="15" t="s">
        <v>22</v>
      </c>
      <c r="D21" s="16">
        <v>2317.0</v>
      </c>
    </row>
    <row r="22">
      <c r="A22" s="15" t="s">
        <v>15</v>
      </c>
      <c r="B22" s="15" t="s">
        <v>28</v>
      </c>
      <c r="C22" s="15" t="s">
        <v>17</v>
      </c>
      <c r="D22" s="16">
        <v>5361.0</v>
      </c>
    </row>
    <row r="23">
      <c r="A23" s="15" t="s">
        <v>15</v>
      </c>
      <c r="B23" s="15" t="s">
        <v>28</v>
      </c>
      <c r="C23" s="15" t="s">
        <v>18</v>
      </c>
      <c r="D23" s="16">
        <v>5808.0</v>
      </c>
    </row>
    <row r="24">
      <c r="A24" s="15" t="s">
        <v>15</v>
      </c>
      <c r="B24" s="15" t="s">
        <v>28</v>
      </c>
      <c r="C24" s="15" t="s">
        <v>24</v>
      </c>
      <c r="D24" s="16">
        <v>4468.0</v>
      </c>
    </row>
    <row r="25">
      <c r="A25" s="15" t="s">
        <v>15</v>
      </c>
      <c r="B25" s="15" t="s">
        <v>28</v>
      </c>
      <c r="C25" s="15" t="s">
        <v>22</v>
      </c>
      <c r="D25" s="16">
        <v>1340.0</v>
      </c>
    </row>
    <row r="26">
      <c r="A26" s="15" t="s">
        <v>15</v>
      </c>
      <c r="B26" s="15" t="s">
        <v>29</v>
      </c>
      <c r="C26" s="15" t="s">
        <v>17</v>
      </c>
      <c r="D26" s="16">
        <v>5108.0</v>
      </c>
    </row>
    <row r="27">
      <c r="A27" s="15" t="s">
        <v>30</v>
      </c>
      <c r="B27" s="15" t="s">
        <v>16</v>
      </c>
      <c r="C27" s="15" t="s">
        <v>31</v>
      </c>
      <c r="D27" s="16">
        <v>3513.0</v>
      </c>
    </row>
    <row r="28">
      <c r="A28" s="15" t="s">
        <v>30</v>
      </c>
      <c r="B28" s="15" t="s">
        <v>16</v>
      </c>
      <c r="C28" s="15" t="s">
        <v>32</v>
      </c>
      <c r="D28" s="16">
        <v>2928.0</v>
      </c>
    </row>
    <row r="29">
      <c r="A29" s="15" t="s">
        <v>30</v>
      </c>
      <c r="B29" s="15" t="s">
        <v>25</v>
      </c>
      <c r="C29" s="15" t="s">
        <v>33</v>
      </c>
      <c r="D29" s="16">
        <v>911.0</v>
      </c>
    </row>
    <row r="30">
      <c r="A30" s="15" t="s">
        <v>30</v>
      </c>
      <c r="B30" s="15" t="s">
        <v>25</v>
      </c>
      <c r="C30" s="15" t="s">
        <v>34</v>
      </c>
      <c r="D30" s="16">
        <v>2277.0</v>
      </c>
    </row>
    <row r="31">
      <c r="A31" s="15" t="s">
        <v>30</v>
      </c>
      <c r="B31" s="15" t="s">
        <v>25</v>
      </c>
      <c r="C31" s="15" t="s">
        <v>35</v>
      </c>
      <c r="D31" s="16">
        <v>3188.0</v>
      </c>
    </row>
    <row r="32">
      <c r="A32" s="15" t="s">
        <v>30</v>
      </c>
      <c r="B32" s="15" t="s">
        <v>25</v>
      </c>
      <c r="C32" s="15" t="s">
        <v>36</v>
      </c>
      <c r="D32" s="16">
        <v>3643.0</v>
      </c>
    </row>
    <row r="33">
      <c r="A33" s="15" t="s">
        <v>30</v>
      </c>
      <c r="B33" s="15" t="s">
        <v>25</v>
      </c>
      <c r="C33" s="15" t="s">
        <v>31</v>
      </c>
      <c r="D33" s="16">
        <v>5465.0</v>
      </c>
    </row>
    <row r="34">
      <c r="A34" s="15" t="s">
        <v>30</v>
      </c>
      <c r="B34" s="15" t="s">
        <v>25</v>
      </c>
      <c r="C34" s="15" t="s">
        <v>37</v>
      </c>
      <c r="D34" s="16">
        <v>5465.0</v>
      </c>
    </row>
    <row r="35">
      <c r="A35" s="15" t="s">
        <v>30</v>
      </c>
      <c r="B35" s="15" t="s">
        <v>25</v>
      </c>
      <c r="C35" s="15" t="s">
        <v>38</v>
      </c>
      <c r="D35" s="16">
        <v>4554.0</v>
      </c>
    </row>
    <row r="36">
      <c r="A36" s="15" t="s">
        <v>30</v>
      </c>
      <c r="B36" s="15" t="s">
        <v>25</v>
      </c>
      <c r="C36" s="15" t="s">
        <v>39</v>
      </c>
      <c r="D36" s="16">
        <v>455.0</v>
      </c>
    </row>
    <row r="37">
      <c r="A37" s="15" t="s">
        <v>30</v>
      </c>
      <c r="B37" s="15" t="s">
        <v>25</v>
      </c>
      <c r="C37" s="15" t="s">
        <v>40</v>
      </c>
      <c r="D37" s="16">
        <v>911.0</v>
      </c>
    </row>
    <row r="38">
      <c r="A38" s="15" t="s">
        <v>30</v>
      </c>
      <c r="B38" s="15" t="s">
        <v>25</v>
      </c>
      <c r="C38" s="15" t="s">
        <v>41</v>
      </c>
      <c r="D38" s="16">
        <v>10930.0</v>
      </c>
    </row>
    <row r="39">
      <c r="A39" s="15" t="s">
        <v>30</v>
      </c>
      <c r="B39" s="15" t="s">
        <v>28</v>
      </c>
      <c r="C39" s="15" t="s">
        <v>33</v>
      </c>
      <c r="D39" s="16">
        <v>1708.0</v>
      </c>
    </row>
    <row r="40">
      <c r="A40" s="15" t="s">
        <v>30</v>
      </c>
      <c r="B40" s="15" t="s">
        <v>28</v>
      </c>
      <c r="C40" s="15" t="s">
        <v>34</v>
      </c>
      <c r="D40" s="16">
        <v>683.0</v>
      </c>
    </row>
    <row r="41">
      <c r="A41" s="15" t="s">
        <v>30</v>
      </c>
      <c r="B41" s="15" t="s">
        <v>28</v>
      </c>
      <c r="C41" s="15" t="s">
        <v>35</v>
      </c>
      <c r="D41" s="16">
        <v>683.0</v>
      </c>
    </row>
    <row r="42">
      <c r="A42" s="15" t="s">
        <v>30</v>
      </c>
      <c r="B42" s="15" t="s">
        <v>28</v>
      </c>
      <c r="C42" s="15" t="s">
        <v>36</v>
      </c>
      <c r="D42" s="16">
        <v>683.0</v>
      </c>
    </row>
    <row r="43">
      <c r="A43" s="15" t="s">
        <v>30</v>
      </c>
      <c r="B43" s="15" t="s">
        <v>28</v>
      </c>
      <c r="C43" s="15" t="s">
        <v>31</v>
      </c>
      <c r="D43" s="16">
        <v>6148.0</v>
      </c>
    </row>
    <row r="44">
      <c r="A44" s="15" t="s">
        <v>30</v>
      </c>
      <c r="B44" s="15" t="s">
        <v>28</v>
      </c>
      <c r="C44" s="15" t="s">
        <v>32</v>
      </c>
      <c r="D44" s="16">
        <v>1025.0</v>
      </c>
    </row>
    <row r="45">
      <c r="A45" s="15" t="s">
        <v>30</v>
      </c>
      <c r="B45" s="15" t="s">
        <v>28</v>
      </c>
      <c r="C45" s="15" t="s">
        <v>42</v>
      </c>
      <c r="D45" s="16">
        <v>683.0</v>
      </c>
    </row>
    <row r="46">
      <c r="A46" s="15" t="s">
        <v>30</v>
      </c>
      <c r="B46" s="15" t="s">
        <v>28</v>
      </c>
      <c r="C46" s="15" t="s">
        <v>43</v>
      </c>
      <c r="D46" s="16">
        <v>1366.0</v>
      </c>
    </row>
    <row r="47">
      <c r="A47" s="15" t="s">
        <v>30</v>
      </c>
      <c r="B47" s="15" t="s">
        <v>28</v>
      </c>
      <c r="C47" s="15" t="s">
        <v>44</v>
      </c>
      <c r="D47" s="16">
        <v>1708.0</v>
      </c>
    </row>
    <row r="48">
      <c r="A48" s="15" t="s">
        <v>30</v>
      </c>
      <c r="B48" s="15" t="s">
        <v>28</v>
      </c>
      <c r="C48" s="15" t="s">
        <v>45</v>
      </c>
      <c r="D48" s="16">
        <v>6148.0</v>
      </c>
    </row>
    <row r="49">
      <c r="A49" s="15" t="s">
        <v>30</v>
      </c>
      <c r="B49" s="15" t="s">
        <v>28</v>
      </c>
      <c r="C49" s="15" t="s">
        <v>37</v>
      </c>
      <c r="D49" s="16">
        <v>7514.0</v>
      </c>
    </row>
    <row r="50">
      <c r="A50" s="15" t="s">
        <v>30</v>
      </c>
      <c r="B50" s="15" t="s">
        <v>28</v>
      </c>
      <c r="C50" s="15" t="s">
        <v>38</v>
      </c>
      <c r="D50" s="16">
        <v>683.0</v>
      </c>
    </row>
    <row r="51">
      <c r="A51" s="15" t="s">
        <v>30</v>
      </c>
      <c r="B51" s="15" t="s">
        <v>28</v>
      </c>
      <c r="C51" s="15" t="s">
        <v>39</v>
      </c>
      <c r="D51" s="16">
        <v>342.0</v>
      </c>
    </row>
    <row r="52">
      <c r="A52" s="15" t="s">
        <v>30</v>
      </c>
      <c r="B52" s="15" t="s">
        <v>28</v>
      </c>
      <c r="C52" s="15" t="s">
        <v>40</v>
      </c>
      <c r="D52" s="16">
        <v>3416.0</v>
      </c>
    </row>
    <row r="53">
      <c r="A53" s="15" t="s">
        <v>30</v>
      </c>
      <c r="B53" s="15" t="s">
        <v>28</v>
      </c>
      <c r="C53" s="15" t="s">
        <v>41</v>
      </c>
      <c r="D53" s="16">
        <v>1366.0</v>
      </c>
    </row>
    <row r="54">
      <c r="A54" s="15" t="s">
        <v>30</v>
      </c>
      <c r="B54" s="15" t="s">
        <v>29</v>
      </c>
      <c r="C54" s="15" t="s">
        <v>33</v>
      </c>
      <c r="D54" s="16">
        <v>1220.0</v>
      </c>
    </row>
    <row r="55">
      <c r="A55" s="15" t="s">
        <v>30</v>
      </c>
      <c r="B55" s="15" t="s">
        <v>29</v>
      </c>
      <c r="C55" s="15" t="s">
        <v>34</v>
      </c>
      <c r="D55" s="16">
        <v>2732.0</v>
      </c>
    </row>
    <row r="56">
      <c r="A56" s="15" t="s">
        <v>30</v>
      </c>
      <c r="B56" s="15" t="s">
        <v>29</v>
      </c>
      <c r="C56" s="15" t="s">
        <v>35</v>
      </c>
      <c r="D56" s="16">
        <v>9563.0</v>
      </c>
    </row>
    <row r="57">
      <c r="A57" s="15" t="s">
        <v>30</v>
      </c>
      <c r="B57" s="15" t="s">
        <v>29</v>
      </c>
      <c r="C57" s="15" t="s">
        <v>39</v>
      </c>
      <c r="D57" s="16">
        <v>683.0</v>
      </c>
    </row>
    <row r="58">
      <c r="A58" s="15" t="s">
        <v>30</v>
      </c>
      <c r="B58" s="15" t="s">
        <v>29</v>
      </c>
      <c r="C58" s="15" t="s">
        <v>40</v>
      </c>
      <c r="D58" s="16">
        <v>12979.0</v>
      </c>
    </row>
    <row r="59">
      <c r="A59" s="15" t="s">
        <v>30</v>
      </c>
      <c r="B59" s="15" t="s">
        <v>29</v>
      </c>
      <c r="C59" s="15" t="s">
        <v>41</v>
      </c>
      <c r="D59" s="16">
        <v>5465.0</v>
      </c>
    </row>
    <row r="60">
      <c r="A60" s="15" t="s">
        <v>46</v>
      </c>
      <c r="B60" s="15" t="s">
        <v>23</v>
      </c>
      <c r="C60" s="15" t="s">
        <v>47</v>
      </c>
      <c r="D60" s="16">
        <v>684.0</v>
      </c>
    </row>
    <row r="61">
      <c r="A61" s="15" t="s">
        <v>46</v>
      </c>
      <c r="B61" s="15" t="s">
        <v>23</v>
      </c>
      <c r="C61" s="15" t="s">
        <v>48</v>
      </c>
      <c r="D61" s="16">
        <v>4104.0</v>
      </c>
    </row>
    <row r="62">
      <c r="A62" s="15" t="s">
        <v>46</v>
      </c>
      <c r="B62" s="15" t="s">
        <v>23</v>
      </c>
      <c r="C62" s="15" t="s">
        <v>49</v>
      </c>
      <c r="D62" s="16">
        <v>0.0</v>
      </c>
    </row>
    <row r="63">
      <c r="A63" s="15" t="s">
        <v>46</v>
      </c>
      <c r="B63" s="15" t="s">
        <v>23</v>
      </c>
      <c r="C63" s="15" t="s">
        <v>50</v>
      </c>
      <c r="D63" s="16">
        <v>1710.0</v>
      </c>
    </row>
    <row r="64">
      <c r="A64" s="15" t="s">
        <v>46</v>
      </c>
      <c r="B64" s="15" t="s">
        <v>23</v>
      </c>
      <c r="C64" s="15" t="s">
        <v>51</v>
      </c>
      <c r="D64" s="16">
        <v>684.0</v>
      </c>
    </row>
    <row r="65">
      <c r="A65" s="15" t="s">
        <v>46</v>
      </c>
      <c r="B65" s="15" t="s">
        <v>23</v>
      </c>
      <c r="C65" s="15" t="s">
        <v>52</v>
      </c>
      <c r="D65" s="16">
        <v>684.0</v>
      </c>
    </row>
    <row r="66">
      <c r="A66" s="15" t="s">
        <v>46</v>
      </c>
      <c r="B66" s="15" t="s">
        <v>28</v>
      </c>
      <c r="C66" s="15" t="s">
        <v>52</v>
      </c>
      <c r="D66" s="16">
        <v>9723.0</v>
      </c>
    </row>
    <row r="67">
      <c r="A67" s="15" t="s">
        <v>46</v>
      </c>
      <c r="B67" s="15" t="s">
        <v>29</v>
      </c>
      <c r="C67" s="15" t="s">
        <v>53</v>
      </c>
      <c r="D67" s="16">
        <v>2508.0</v>
      </c>
    </row>
    <row r="68">
      <c r="A68" s="15" t="s">
        <v>46</v>
      </c>
      <c r="B68" s="15" t="s">
        <v>29</v>
      </c>
      <c r="C68" s="15" t="s">
        <v>54</v>
      </c>
      <c r="D68" s="16">
        <v>0.0</v>
      </c>
    </row>
    <row r="69">
      <c r="A69" s="15" t="s">
        <v>46</v>
      </c>
      <c r="B69" s="15" t="s">
        <v>29</v>
      </c>
      <c r="C69" s="15" t="s">
        <v>55</v>
      </c>
      <c r="D69" s="16">
        <v>0.0</v>
      </c>
    </row>
    <row r="70">
      <c r="A70" s="17" t="s">
        <v>46</v>
      </c>
      <c r="B70" s="17" t="s">
        <v>29</v>
      </c>
      <c r="C70" s="17" t="s">
        <v>56</v>
      </c>
      <c r="D70" s="18">
        <v>7105.0</v>
      </c>
    </row>
  </sheetData>
  <conditionalFormatting sqref="A5:D70">
    <cfRule type="expression" dxfId="4" priority="1">
      <formula>$D5&gt;$A$3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38"/>
    <col customWidth="1" min="3" max="3" width="11.38"/>
  </cols>
  <sheetData>
    <row r="1">
      <c r="A1" s="1" t="s">
        <v>59</v>
      </c>
      <c r="B1" s="2"/>
      <c r="C1" s="2"/>
      <c r="D1" s="2"/>
    </row>
    <row r="2">
      <c r="A2" s="3" t="s">
        <v>60</v>
      </c>
      <c r="D2" s="4" t="str">
        <f>IFERROR(__xludf.DUMMYFUNCTION("sortn(A5:A35,2,1,C5:C35,false)"),"Brigitte Bond")</f>
        <v>Brigitte Bond</v>
      </c>
    </row>
    <row r="3">
      <c r="D3" s="4" t="str">
        <f>IFERROR(__xludf.DUMMYFUNCTION("""COMPUTED_VALUE"""),"Crystal Doyle")</f>
        <v>Crystal Doyle</v>
      </c>
    </row>
    <row r="4">
      <c r="A4" s="6" t="s">
        <v>61</v>
      </c>
      <c r="B4" s="6" t="s">
        <v>62</v>
      </c>
      <c r="C4" s="6" t="s">
        <v>63</v>
      </c>
    </row>
    <row r="5">
      <c r="A5" s="10" t="s">
        <v>64</v>
      </c>
      <c r="B5" s="19">
        <v>38961.0</v>
      </c>
      <c r="C5" s="20">
        <v>60270.0</v>
      </c>
    </row>
    <row r="6">
      <c r="A6" s="10" t="s">
        <v>65</v>
      </c>
      <c r="B6" s="19">
        <v>40148.0</v>
      </c>
      <c r="C6" s="20">
        <v>39627.0</v>
      </c>
    </row>
    <row r="7">
      <c r="A7" s="10" t="s">
        <v>66</v>
      </c>
      <c r="B7" s="19">
        <v>42461.0</v>
      </c>
      <c r="C7" s="20">
        <v>29727.0</v>
      </c>
    </row>
    <row r="8">
      <c r="A8" s="10" t="s">
        <v>67</v>
      </c>
      <c r="B8" s="19">
        <v>38353.0</v>
      </c>
      <c r="C8" s="20">
        <v>93668.0</v>
      </c>
    </row>
    <row r="9">
      <c r="A9" s="10" t="s">
        <v>68</v>
      </c>
      <c r="B9" s="19">
        <v>40787.0</v>
      </c>
      <c r="C9" s="20">
        <v>134000.0</v>
      </c>
    </row>
    <row r="10">
      <c r="A10" s="10" t="s">
        <v>69</v>
      </c>
      <c r="B10" s="19">
        <v>38353.0</v>
      </c>
      <c r="C10" s="20">
        <v>34808.0</v>
      </c>
    </row>
    <row r="11">
      <c r="A11" s="10" t="s">
        <v>70</v>
      </c>
      <c r="B11" s="19">
        <v>42795.0</v>
      </c>
      <c r="C11" s="20">
        <v>134468.0</v>
      </c>
    </row>
    <row r="12">
      <c r="A12" s="10" t="s">
        <v>71</v>
      </c>
      <c r="B12" s="19">
        <v>43497.0</v>
      </c>
      <c r="C12" s="20">
        <v>45000.0</v>
      </c>
    </row>
    <row r="13">
      <c r="A13" s="10" t="s">
        <v>72</v>
      </c>
      <c r="B13" s="19">
        <v>41671.0</v>
      </c>
      <c r="C13" s="20">
        <v>89500.0</v>
      </c>
    </row>
    <row r="14">
      <c r="A14" s="10" t="s">
        <v>73</v>
      </c>
      <c r="B14" s="19">
        <v>40817.0</v>
      </c>
      <c r="C14" s="20">
        <v>21972.0</v>
      </c>
    </row>
    <row r="15">
      <c r="A15" s="10" t="s">
        <v>74</v>
      </c>
      <c r="B15" s="19">
        <v>40817.0</v>
      </c>
      <c r="C15" s="20">
        <v>80000.0</v>
      </c>
    </row>
    <row r="16">
      <c r="A16" s="10" t="s">
        <v>75</v>
      </c>
      <c r="B16" s="19">
        <v>41244.0</v>
      </c>
      <c r="C16" s="20">
        <v>185000.0</v>
      </c>
    </row>
    <row r="17">
      <c r="A17" s="10" t="s">
        <v>76</v>
      </c>
      <c r="B17" s="19">
        <v>43374.0</v>
      </c>
      <c r="C17" s="20">
        <v>50545.0</v>
      </c>
    </row>
    <row r="18">
      <c r="A18" s="10" t="s">
        <v>77</v>
      </c>
      <c r="B18" s="19">
        <v>38200.0</v>
      </c>
      <c r="C18" s="20">
        <v>140000.0</v>
      </c>
    </row>
    <row r="19">
      <c r="A19" s="10" t="s">
        <v>78</v>
      </c>
      <c r="B19" s="19">
        <v>37135.0</v>
      </c>
      <c r="C19" s="20">
        <v>100000.0</v>
      </c>
    </row>
    <row r="20">
      <c r="A20" s="10" t="s">
        <v>79</v>
      </c>
      <c r="B20" s="19">
        <v>38812.0</v>
      </c>
      <c r="C20" s="20">
        <v>68357.0</v>
      </c>
    </row>
    <row r="21">
      <c r="A21" s="10" t="s">
        <v>80</v>
      </c>
      <c r="B21" s="19">
        <v>40374.0</v>
      </c>
      <c r="C21" s="20">
        <v>46055.0</v>
      </c>
    </row>
    <row r="22">
      <c r="A22" s="10" t="s">
        <v>81</v>
      </c>
      <c r="B22" s="19">
        <v>38961.0</v>
      </c>
      <c r="C22" s="20">
        <v>60270.0</v>
      </c>
    </row>
    <row r="23">
      <c r="A23" s="10" t="s">
        <v>82</v>
      </c>
      <c r="B23" s="19">
        <v>39828.0</v>
      </c>
      <c r="C23" s="20">
        <v>65709.0</v>
      </c>
    </row>
    <row r="24">
      <c r="A24" s="10" t="s">
        <v>83</v>
      </c>
      <c r="B24" s="19">
        <v>42614.0</v>
      </c>
      <c r="C24" s="20">
        <v>46407.0</v>
      </c>
    </row>
    <row r="25">
      <c r="A25" s="10" t="s">
        <v>84</v>
      </c>
      <c r="B25" s="19">
        <v>43466.0</v>
      </c>
      <c r="C25" s="20">
        <v>73817.0</v>
      </c>
    </row>
    <row r="26">
      <c r="A26" s="10" t="s">
        <v>85</v>
      </c>
      <c r="B26" s="19">
        <v>43466.0</v>
      </c>
      <c r="C26" s="20">
        <v>45686.0</v>
      </c>
    </row>
    <row r="27">
      <c r="A27" s="10" t="s">
        <v>86</v>
      </c>
      <c r="B27" s="19">
        <v>43497.0</v>
      </c>
      <c r="C27" s="20">
        <v>140000.0</v>
      </c>
    </row>
    <row r="28">
      <c r="A28" s="10" t="s">
        <v>87</v>
      </c>
      <c r="B28" s="19">
        <v>36647.0</v>
      </c>
      <c r="C28" s="20">
        <v>45432.0</v>
      </c>
    </row>
    <row r="29">
      <c r="A29" s="10" t="s">
        <v>88</v>
      </c>
      <c r="B29" s="19">
        <v>37438.0</v>
      </c>
      <c r="C29" s="20">
        <v>116000.0</v>
      </c>
    </row>
    <row r="30">
      <c r="A30" s="10" t="s">
        <v>89</v>
      </c>
      <c r="B30" s="19">
        <v>42675.0</v>
      </c>
      <c r="C30" s="20">
        <v>59784.0</v>
      </c>
    </row>
    <row r="31">
      <c r="A31" s="10" t="s">
        <v>90</v>
      </c>
      <c r="B31" s="19">
        <v>42401.0</v>
      </c>
      <c r="C31" s="20">
        <v>225000.0</v>
      </c>
    </row>
    <row r="32">
      <c r="A32" s="10" t="s">
        <v>91</v>
      </c>
      <c r="B32" s="19">
        <v>42552.0</v>
      </c>
      <c r="C32" s="20">
        <v>38821.0</v>
      </c>
    </row>
    <row r="33">
      <c r="A33" s="10" t="s">
        <v>92</v>
      </c>
      <c r="B33" s="19">
        <v>42224.0</v>
      </c>
      <c r="C33" s="20">
        <v>102500.0</v>
      </c>
    </row>
    <row r="34">
      <c r="A34" s="10" t="s">
        <v>93</v>
      </c>
      <c r="B34" s="19">
        <v>42005.0</v>
      </c>
      <c r="C34" s="20">
        <v>88000.0</v>
      </c>
    </row>
    <row r="35">
      <c r="A35" s="10" t="s">
        <v>94</v>
      </c>
      <c r="B35" s="19">
        <v>43367.0</v>
      </c>
      <c r="C35" s="20">
        <v>49000.0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38"/>
    <col customWidth="1" min="3" max="3" width="11.38"/>
  </cols>
  <sheetData>
    <row r="1">
      <c r="A1" s="1" t="s">
        <v>95</v>
      </c>
      <c r="B1" s="2"/>
      <c r="C1" s="2"/>
      <c r="D1" s="2"/>
    </row>
    <row r="2">
      <c r="A2" s="3" t="s">
        <v>96</v>
      </c>
      <c r="D2" s="4" t="str">
        <f>IFERROR(__xludf.DUMMYFUNCTION("filter(A5:A35,B5:B35=min(B5:B35))"),"Peter Ramsy")</f>
        <v>Peter Ramsy</v>
      </c>
    </row>
    <row r="4">
      <c r="A4" s="6" t="s">
        <v>61</v>
      </c>
      <c r="B4" s="6" t="s">
        <v>62</v>
      </c>
      <c r="C4" s="6" t="s">
        <v>63</v>
      </c>
    </row>
    <row r="5">
      <c r="A5" s="10" t="s">
        <v>64</v>
      </c>
      <c r="B5" s="19">
        <v>38961.0</v>
      </c>
      <c r="C5" s="20">
        <v>60270.0</v>
      </c>
    </row>
    <row r="6">
      <c r="A6" s="10" t="s">
        <v>65</v>
      </c>
      <c r="B6" s="19">
        <v>40148.0</v>
      </c>
      <c r="C6" s="20">
        <v>39627.0</v>
      </c>
    </row>
    <row r="7">
      <c r="A7" s="10" t="s">
        <v>66</v>
      </c>
      <c r="B7" s="19">
        <v>42461.0</v>
      </c>
      <c r="C7" s="20">
        <v>29727.0</v>
      </c>
    </row>
    <row r="8">
      <c r="A8" s="10" t="s">
        <v>67</v>
      </c>
      <c r="B8" s="19">
        <v>38353.0</v>
      </c>
      <c r="C8" s="20">
        <v>93668.0</v>
      </c>
    </row>
    <row r="9">
      <c r="A9" s="10" t="s">
        <v>68</v>
      </c>
      <c r="B9" s="19">
        <v>40787.0</v>
      </c>
      <c r="C9" s="20">
        <v>134000.0</v>
      </c>
    </row>
    <row r="10">
      <c r="A10" s="10" t="s">
        <v>69</v>
      </c>
      <c r="B10" s="19">
        <v>38353.0</v>
      </c>
      <c r="C10" s="20">
        <v>34808.0</v>
      </c>
    </row>
    <row r="11">
      <c r="A11" s="10" t="s">
        <v>70</v>
      </c>
      <c r="B11" s="19">
        <v>42795.0</v>
      </c>
      <c r="C11" s="20">
        <v>134468.0</v>
      </c>
    </row>
    <row r="12">
      <c r="A12" s="10" t="s">
        <v>71</v>
      </c>
      <c r="B12" s="19">
        <v>43497.0</v>
      </c>
      <c r="C12" s="20">
        <v>45000.0</v>
      </c>
    </row>
    <row r="13">
      <c r="A13" s="10" t="s">
        <v>72</v>
      </c>
      <c r="B13" s="19">
        <v>41671.0</v>
      </c>
      <c r="C13" s="20">
        <v>89500.0</v>
      </c>
    </row>
    <row r="14">
      <c r="A14" s="10" t="s">
        <v>73</v>
      </c>
      <c r="B14" s="19">
        <v>40817.0</v>
      </c>
      <c r="C14" s="20">
        <v>21972.0</v>
      </c>
    </row>
    <row r="15">
      <c r="A15" s="10" t="s">
        <v>74</v>
      </c>
      <c r="B15" s="19">
        <v>40817.0</v>
      </c>
      <c r="C15" s="20">
        <v>80000.0</v>
      </c>
    </row>
    <row r="16">
      <c r="A16" s="10" t="s">
        <v>75</v>
      </c>
      <c r="B16" s="19">
        <v>41244.0</v>
      </c>
      <c r="C16" s="20">
        <v>185000.0</v>
      </c>
    </row>
    <row r="17">
      <c r="A17" s="10" t="s">
        <v>76</v>
      </c>
      <c r="B17" s="19">
        <v>43374.0</v>
      </c>
      <c r="C17" s="20">
        <v>50545.0</v>
      </c>
    </row>
    <row r="18">
      <c r="A18" s="10" t="s">
        <v>77</v>
      </c>
      <c r="B18" s="19">
        <v>38200.0</v>
      </c>
      <c r="C18" s="20">
        <v>140000.0</v>
      </c>
    </row>
    <row r="19">
      <c r="A19" s="10" t="s">
        <v>78</v>
      </c>
      <c r="B19" s="19">
        <v>37135.0</v>
      </c>
      <c r="C19" s="20">
        <v>100000.0</v>
      </c>
    </row>
    <row r="20">
      <c r="A20" s="10" t="s">
        <v>79</v>
      </c>
      <c r="B20" s="19">
        <v>38812.0</v>
      </c>
      <c r="C20" s="20">
        <v>68357.0</v>
      </c>
    </row>
    <row r="21">
      <c r="A21" s="10" t="s">
        <v>80</v>
      </c>
      <c r="B21" s="19">
        <v>40374.0</v>
      </c>
      <c r="C21" s="20">
        <v>46055.0</v>
      </c>
    </row>
    <row r="22">
      <c r="A22" s="10" t="s">
        <v>81</v>
      </c>
      <c r="B22" s="19">
        <v>38961.0</v>
      </c>
      <c r="C22" s="20">
        <v>60270.0</v>
      </c>
    </row>
    <row r="23">
      <c r="A23" s="10" t="s">
        <v>82</v>
      </c>
      <c r="B23" s="19">
        <v>39828.0</v>
      </c>
      <c r="C23" s="20">
        <v>65709.0</v>
      </c>
    </row>
    <row r="24">
      <c r="A24" s="10" t="s">
        <v>83</v>
      </c>
      <c r="B24" s="19">
        <v>42614.0</v>
      </c>
      <c r="C24" s="20">
        <v>46407.0</v>
      </c>
    </row>
    <row r="25">
      <c r="A25" s="10" t="s">
        <v>84</v>
      </c>
      <c r="B25" s="19">
        <v>43466.0</v>
      </c>
      <c r="C25" s="20">
        <v>73817.0</v>
      </c>
    </row>
    <row r="26">
      <c r="A26" s="10" t="s">
        <v>85</v>
      </c>
      <c r="B26" s="19">
        <v>43466.0</v>
      </c>
      <c r="C26" s="20">
        <v>45686.0</v>
      </c>
    </row>
    <row r="27">
      <c r="A27" s="10" t="s">
        <v>86</v>
      </c>
      <c r="B27" s="19">
        <v>43497.0</v>
      </c>
      <c r="C27" s="20">
        <v>140000.0</v>
      </c>
    </row>
    <row r="28">
      <c r="A28" s="10" t="s">
        <v>87</v>
      </c>
      <c r="B28" s="19">
        <v>36647.0</v>
      </c>
      <c r="C28" s="20">
        <v>45432.0</v>
      </c>
    </row>
    <row r="29">
      <c r="A29" s="10" t="s">
        <v>88</v>
      </c>
      <c r="B29" s="19">
        <v>37438.0</v>
      </c>
      <c r="C29" s="20">
        <v>116000.0</v>
      </c>
    </row>
    <row r="30">
      <c r="A30" s="10" t="s">
        <v>89</v>
      </c>
      <c r="B30" s="19">
        <v>42675.0</v>
      </c>
      <c r="C30" s="20">
        <v>59784.0</v>
      </c>
    </row>
    <row r="31">
      <c r="A31" s="10" t="s">
        <v>90</v>
      </c>
      <c r="B31" s="19">
        <v>42401.0</v>
      </c>
      <c r="C31" s="20">
        <v>225000.0</v>
      </c>
    </row>
    <row r="32">
      <c r="A32" s="10" t="s">
        <v>91</v>
      </c>
      <c r="B32" s="19">
        <v>42552.0</v>
      </c>
      <c r="C32" s="20">
        <v>38821.0</v>
      </c>
    </row>
    <row r="33">
      <c r="A33" s="10" t="s">
        <v>92</v>
      </c>
      <c r="B33" s="19">
        <v>42224.0</v>
      </c>
      <c r="C33" s="20">
        <v>102500.0</v>
      </c>
    </row>
    <row r="34">
      <c r="A34" s="10" t="s">
        <v>93</v>
      </c>
      <c r="B34" s="19">
        <v>42005.0</v>
      </c>
      <c r="C34" s="20">
        <v>88000.0</v>
      </c>
    </row>
    <row r="35">
      <c r="A35" s="10" t="s">
        <v>94</v>
      </c>
      <c r="B35" s="19">
        <v>43367.0</v>
      </c>
      <c r="C35" s="20">
        <v>49000.0</v>
      </c>
    </row>
  </sheetData>
  <drawing r:id="rId1"/>
  <tableParts count="1">
    <tablePart r:id="rId3"/>
  </tableParts>
</worksheet>
</file>