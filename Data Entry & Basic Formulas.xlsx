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Entry" sheetId="2" r:id="rId6"/>
    <sheet state="visible" name="Formulas" sheetId="3" r:id="rId7"/>
    <sheet state="visible" name="Functions" sheetId="4" r:id="rId8"/>
    <sheet state="visible" name="Referencing" sheetId="5" r:id="rId9"/>
    <sheet state="visible" name="Challeng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This is formatted as text instead of automatic or number</t>
      </text>
    </comment>
  </commentList>
</comments>
</file>

<file path=xl/sharedStrings.xml><?xml version="1.0" encoding="utf-8"?>
<sst xmlns="http://schemas.openxmlformats.org/spreadsheetml/2006/main" count="113" uniqueCount="58">
  <si>
    <t>Google Sheets Essentials</t>
  </si>
  <si>
    <t>Data Entry &amp; Basic Formulas</t>
  </si>
  <si>
    <t>LINK</t>
  </si>
  <si>
    <t>TOPIC</t>
  </si>
  <si>
    <t>COMPREHENSION</t>
  </si>
  <si>
    <t>YOUR NOTES</t>
  </si>
  <si>
    <t>Data Entry, Data Types &amp; Autofill in Google Sheets</t>
  </si>
  <si>
    <t>Select One…</t>
  </si>
  <si>
    <t>Basic Formulas in Google Sheets</t>
  </si>
  <si>
    <t>Basic Functions (Sum, Count, Counta, CountUnique)</t>
  </si>
  <si>
    <t>Relative Vs. Absolute Referencing</t>
  </si>
  <si>
    <t>Challenge: Find the Mistake! Data Doesn't add up!</t>
  </si>
  <si>
    <t>Data Entry, Data Types &amp; Autofill</t>
  </si>
  <si>
    <t>Sales Information 
Year 2020</t>
  </si>
  <si>
    <t>Price List</t>
  </si>
  <si>
    <t>Index</t>
  </si>
  <si>
    <t>Date</t>
  </si>
  <si>
    <t>Product</t>
  </si>
  <si>
    <t>Sales</t>
  </si>
  <si>
    <t>Quantity</t>
  </si>
  <si>
    <t>Item</t>
  </si>
  <si>
    <t>Current 
Price</t>
  </si>
  <si>
    <t>Discount</t>
  </si>
  <si>
    <t>Scarf</t>
  </si>
  <si>
    <t>Bag</t>
  </si>
  <si>
    <t>Dress</t>
  </si>
  <si>
    <t>Shirt</t>
  </si>
  <si>
    <t>Name</t>
  </si>
  <si>
    <t>Salary</t>
  </si>
  <si>
    <t>Salary PY</t>
  </si>
  <si>
    <t>Difference</t>
  </si>
  <si>
    <t>% Increase</t>
  </si>
  <si>
    <t>% Increase (2nd Method)</t>
  </si>
  <si>
    <t>Matilda Parry</t>
  </si>
  <si>
    <t>Paul Garza</t>
  </si>
  <si>
    <t>Heidi Medina</t>
  </si>
  <si>
    <t>Peter Ramsy</t>
  </si>
  <si>
    <t>Imogen Clarke</t>
  </si>
  <si>
    <t>Price after discount</t>
  </si>
  <si>
    <t>Basic Functions in Google Sheets</t>
  </si>
  <si>
    <t>Sum, Average, Count, Counta, CountUnique</t>
  </si>
  <si>
    <t>Total Salary</t>
  </si>
  <si>
    <t>Average Salary</t>
  </si>
  <si>
    <t>Number of Employees</t>
  </si>
  <si>
    <t>Unique count of employees</t>
  </si>
  <si>
    <t>validation</t>
  </si>
  <si>
    <t>Global Discount</t>
  </si>
  <si>
    <t>Monthly Discount</t>
  </si>
  <si>
    <t>Current Price</t>
  </si>
  <si>
    <t>Price</t>
  </si>
  <si>
    <t>Jan Price</t>
  </si>
  <si>
    <t>Feb Price</t>
  </si>
  <si>
    <t>There is something wrong with the below calculation. Data is not adding up properly.</t>
  </si>
  <si>
    <t>Why don't the numbers add up here?</t>
  </si>
  <si>
    <t>If you need a hint: input 20 in each cell below</t>
  </si>
  <si>
    <t>20</t>
  </si>
  <si>
    <t>If you perform a direct math operation on a text cell, the text number is converted to a number and the operation is done correctly.</t>
  </si>
  <si>
    <t>This means you can add the values with the plus operator successfully but not if you use a function that requires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</si>
</sst>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&quot;$&quot;#,##0"/>
  </numFmts>
  <fonts count="10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b/>
      <color rgb="FF073763"/>
      <name val="Roboto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F4FFF9"/>
        <bgColor rgb="FFF4FFF9"/>
      </patternFill>
    </fill>
    <fill>
      <patternFill patternType="solid">
        <fgColor rgb="FFFFFAEC"/>
        <bgColor rgb="FFFFFAEC"/>
      </patternFill>
    </fill>
  </fills>
  <borders count="25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n">
        <color rgb="FF000000"/>
      </bottom>
    </border>
    <border>
      <left style="thin">
        <color rgb="FFB7B7B7"/>
      </left>
      <top style="thin">
        <color rgb="FFB7B7B7"/>
      </top>
      <bottom style="medium">
        <color rgb="FF3D85C6"/>
      </bottom>
    </border>
    <border>
      <top style="thin">
        <color rgb="FFB7B7B7"/>
      </top>
      <bottom style="medium">
        <color rgb="FF3D85C6"/>
      </bottom>
    </border>
    <border>
      <right style="thin">
        <color rgb="FFB7B7B7"/>
      </right>
      <top style="thin">
        <color rgb="FFB7B7B7"/>
      </top>
      <bottom style="medium">
        <color rgb="FF3D85C6"/>
      </bottom>
    </border>
    <border>
      <left style="thin">
        <color rgb="FFB7B7B7"/>
      </left>
      <bottom style="thin">
        <color rgb="FFCCCCCC"/>
      </bottom>
    </border>
    <border>
      <bottom style="thin">
        <color rgb="FFCCCCCC"/>
      </bottom>
    </border>
    <border>
      <right style="thin">
        <color rgb="FFB7B7B7"/>
      </right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top style="thin">
        <color rgb="FFCCCCCC"/>
      </top>
      <bottom style="thin">
        <color rgb="FFB7B7B7"/>
      </bottom>
    </border>
    <border>
      <right style="thin">
        <color rgb="FFB7B7B7"/>
      </right>
      <top style="thin">
        <color rgb="FFCCCCCC"/>
      </top>
      <bottom style="thin">
        <color rgb="FFB7B7B7"/>
      </bottom>
    </border>
    <border>
      <bottom style="medium">
        <color rgb="FFA64D79"/>
      </bottom>
    </border>
    <border>
      <right style="thin">
        <color rgb="FFCCCCCC"/>
      </right>
      <top style="thin">
        <color rgb="FFB7B7B7"/>
      </top>
      <bottom style="medium">
        <color rgb="FF3D85C6"/>
      </bottom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medium">
        <color rgb="FF3D85C6"/>
      </bottom>
    </border>
    <border>
      <top style="thin">
        <color rgb="FFCCCCCC"/>
      </top>
      <bottom style="thin">
        <color rgb="FFD9D9D9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0" fontId="6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6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9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9" xfId="0" applyAlignment="1" applyBorder="1" applyFont="1" applyNumberForma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9" xfId="0" applyAlignment="1" applyBorder="1" applyFont="1" applyNumberFormat="1">
      <alignment readingOrder="0"/>
    </xf>
    <xf borderId="17" fillId="0" fontId="6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0" fillId="5" fontId="1" numFmtId="165" xfId="0" applyFill="1" applyFont="1" applyNumberFormat="1"/>
    <xf borderId="0" fillId="5" fontId="1" numFmtId="10" xfId="0" applyFont="1" applyNumberFormat="1"/>
    <xf borderId="18" fillId="0" fontId="9" numFmtId="0" xfId="0" applyAlignment="1" applyBorder="1" applyFont="1">
      <alignment readingOrder="0" shrinkToFit="0" wrapText="1"/>
    </xf>
    <xf borderId="19" fillId="0" fontId="1" numFmtId="2" xfId="0" applyAlignment="1" applyBorder="1" applyFont="1" applyNumberFormat="1">
      <alignment readingOrder="0"/>
    </xf>
    <xf borderId="20" fillId="0" fontId="1" numFmtId="2" xfId="0" applyAlignment="1" applyBorder="1" applyFont="1" applyNumberFormat="1">
      <alignment readingOrder="0"/>
    </xf>
    <xf borderId="21" fillId="0" fontId="1" numFmtId="2" xfId="0" applyAlignment="1" applyBorder="1" applyFont="1" applyNumberFormat="1">
      <alignment readingOrder="0"/>
    </xf>
    <xf borderId="9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 readingOrder="0"/>
    </xf>
    <xf borderId="22" fillId="5" fontId="1" numFmtId="165" xfId="0" applyAlignment="1" applyBorder="1" applyFont="1" applyNumberFormat="1">
      <alignment readingOrder="0"/>
    </xf>
    <xf borderId="0" fillId="0" fontId="1" numFmtId="0" xfId="0" applyFont="1"/>
    <xf borderId="12" fillId="0" fontId="1" numFmtId="165" xfId="0" applyAlignment="1" applyBorder="1" applyFont="1" applyNumberFormat="1">
      <alignment readingOrder="0"/>
    </xf>
    <xf borderId="22" fillId="5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22" fillId="6" fontId="1" numFmtId="9" xfId="0" applyAlignment="1" applyBorder="1" applyFill="1" applyFont="1" applyNumberFormat="1">
      <alignment readingOrder="0"/>
    </xf>
    <xf borderId="23" fillId="0" fontId="9" numFmtId="0" xfId="0" applyAlignment="1" applyBorder="1" applyFont="1">
      <alignment readingOrder="0"/>
    </xf>
    <xf borderId="23" fillId="0" fontId="9" numFmtId="0" xfId="0" applyAlignment="1" applyBorder="1" applyFont="1">
      <alignment horizontal="left" readingOrder="0"/>
    </xf>
    <xf borderId="9" fillId="6" fontId="1" numFmtId="9" xfId="0" applyAlignment="1" applyBorder="1" applyFont="1" applyNumberFormat="1">
      <alignment readingOrder="0"/>
    </xf>
    <xf borderId="12" fillId="5" fontId="1" numFmtId="2" xfId="0" applyAlignment="1" applyBorder="1" applyFont="1" applyNumberFormat="1">
      <alignment readingOrder="0"/>
    </xf>
    <xf borderId="12" fillId="6" fontId="1" numFmtId="9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24" fillId="6" fontId="1" numFmtId="9" xfId="0" applyAlignment="1" applyBorder="1" applyFont="1" applyNumberFormat="1">
      <alignment readingOrder="0"/>
    </xf>
    <xf borderId="17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0" fillId="0" fontId="1" numFmtId="49" xfId="0" applyFont="1" applyNumberFormat="1"/>
    <xf borderId="0" fillId="0" fontId="6" numFmtId="4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1</xdr:row>
      <xdr:rowOff>133350</xdr:rowOff>
    </xdr:from>
    <xdr:ext cx="2152650" cy="1647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3"/>
      <c r="C10" s="14"/>
      <c r="D10" s="13"/>
      <c r="E10" s="15"/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 ht="9.75" customHeight="1">
      <c r="A12" s="4"/>
      <c r="B12" s="4"/>
      <c r="C12" s="16"/>
      <c r="D12" s="4"/>
      <c r="E12" s="4"/>
      <c r="F12" s="4"/>
      <c r="G12" s="4"/>
    </row>
  </sheetData>
  <mergeCells count="2">
    <mergeCell ref="B1:G1"/>
    <mergeCell ref="B2:G2"/>
  </mergeCells>
  <conditionalFormatting sqref="B5:F11">
    <cfRule type="expression" dxfId="0" priority="1">
      <formula>$E5="Done &amp; Understood"</formula>
    </cfRule>
  </conditionalFormatting>
  <conditionalFormatting sqref="B5:F11">
    <cfRule type="expression" dxfId="1" priority="2">
      <formula>$E5="Done but needs practice"</formula>
    </cfRule>
  </conditionalFormatting>
  <conditionalFormatting sqref="B5:F11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9">
      <formula1>"Select One…,Done &amp; Understood,Done but needs practice,Review Later"</formula1>
    </dataValidation>
  </dataValidations>
  <hyperlinks>
    <hyperlink display="LINK" location="Entry!A1" ref="B5"/>
    <hyperlink display="LINK" location="Formulas!A1" ref="B6"/>
    <hyperlink display="LINK" location="Functions!A1" ref="B7"/>
    <hyperlink display="LINK" location="Referencing!A1" ref="B8"/>
    <hyperlink display="LINK" location="Challenge!A1" ref="B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9.25"/>
    <col customWidth="1" min="3" max="3" width="12.88"/>
    <col customWidth="1" min="4" max="4" width="13.13"/>
    <col customWidth="1" min="7" max="7" width="8.25"/>
    <col customWidth="1" min="8" max="8" width="7.38"/>
    <col customWidth="1" min="9" max="9" width="8.88"/>
    <col customWidth="1" min="10" max="10" width="10.75"/>
  </cols>
  <sheetData>
    <row r="1">
      <c r="A1" s="17" t="s">
        <v>12</v>
      </c>
      <c r="B1" s="18"/>
      <c r="C1" s="18"/>
      <c r="D1" s="18"/>
      <c r="E1" s="18"/>
      <c r="F1" s="18"/>
    </row>
    <row r="3">
      <c r="A3" s="19" t="s">
        <v>13</v>
      </c>
      <c r="G3" s="20" t="s">
        <v>14</v>
      </c>
    </row>
    <row r="4">
      <c r="A4" s="21" t="s">
        <v>15</v>
      </c>
      <c r="B4" s="21" t="s">
        <v>16</v>
      </c>
      <c r="C4" s="21" t="s">
        <v>17</v>
      </c>
      <c r="D4" s="21" t="s">
        <v>18</v>
      </c>
      <c r="E4" s="21" t="s">
        <v>19</v>
      </c>
      <c r="G4" s="22" t="s">
        <v>20</v>
      </c>
      <c r="H4" s="23" t="s">
        <v>21</v>
      </c>
      <c r="I4" s="24" t="s">
        <v>22</v>
      </c>
    </row>
    <row r="5">
      <c r="A5" s="25">
        <v>1.0</v>
      </c>
      <c r="B5" s="26">
        <v>43862.0</v>
      </c>
      <c r="D5" s="25">
        <v>20.0</v>
      </c>
      <c r="E5" s="25">
        <v>10.0</v>
      </c>
      <c r="G5" s="27" t="s">
        <v>23</v>
      </c>
      <c r="H5" s="28">
        <v>60.0</v>
      </c>
      <c r="I5" s="29">
        <v>0.1</v>
      </c>
    </row>
    <row r="6">
      <c r="A6" s="25">
        <v>2.0</v>
      </c>
      <c r="B6" s="26">
        <v>43863.0</v>
      </c>
      <c r="D6" s="25">
        <v>30.0</v>
      </c>
      <c r="E6" s="25">
        <v>20.0</v>
      </c>
      <c r="G6" s="30" t="s">
        <v>24</v>
      </c>
      <c r="H6" s="31">
        <v>80.0</v>
      </c>
      <c r="I6" s="32">
        <v>0.2</v>
      </c>
    </row>
    <row r="7">
      <c r="A7" s="25">
        <v>3.0</v>
      </c>
      <c r="B7" s="26">
        <v>43864.0</v>
      </c>
      <c r="D7" s="25">
        <v>30.0</v>
      </c>
      <c r="E7" s="25">
        <v>20.0</v>
      </c>
      <c r="G7" s="30" t="s">
        <v>25</v>
      </c>
      <c r="H7" s="31">
        <v>50.0</v>
      </c>
      <c r="I7" s="32">
        <v>0.15</v>
      </c>
    </row>
    <row r="8">
      <c r="A8" s="25">
        <v>4.0</v>
      </c>
      <c r="B8" s="26">
        <v>43865.0</v>
      </c>
      <c r="D8" s="25">
        <v>10.0</v>
      </c>
      <c r="E8" s="25">
        <v>20.0</v>
      </c>
      <c r="G8" s="33" t="s">
        <v>26</v>
      </c>
      <c r="H8" s="34">
        <v>40.0</v>
      </c>
      <c r="I8" s="35">
        <v>0.1</v>
      </c>
    </row>
    <row r="9">
      <c r="A9" s="25">
        <v>5.0</v>
      </c>
      <c r="B9" s="26">
        <v>43866.0</v>
      </c>
      <c r="G9" s="26"/>
    </row>
    <row r="10">
      <c r="A10" s="25">
        <v>6.0</v>
      </c>
      <c r="B10" s="26">
        <v>43867.0</v>
      </c>
      <c r="G10" s="26"/>
    </row>
    <row r="11">
      <c r="A11" s="25">
        <v>7.0</v>
      </c>
      <c r="B11" s="26">
        <v>43868.0</v>
      </c>
      <c r="G11" s="26"/>
    </row>
    <row r="12">
      <c r="A12" s="25">
        <v>8.0</v>
      </c>
      <c r="B12" s="26">
        <v>43869.0</v>
      </c>
      <c r="G12" s="26"/>
    </row>
    <row r="13">
      <c r="A13" s="25">
        <v>9.0</v>
      </c>
      <c r="B13" s="26">
        <v>43870.0</v>
      </c>
      <c r="G13" s="26"/>
    </row>
    <row r="14">
      <c r="A14" s="25">
        <v>10.0</v>
      </c>
      <c r="B14" s="26">
        <v>43871.0</v>
      </c>
    </row>
  </sheetData>
  <mergeCells count="2">
    <mergeCell ref="A3:E3"/>
    <mergeCell ref="G3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7" t="s">
        <v>8</v>
      </c>
      <c r="B1" s="18"/>
      <c r="C1" s="18"/>
      <c r="D1" s="18"/>
      <c r="E1" s="18"/>
      <c r="F1" s="18"/>
    </row>
    <row r="3">
      <c r="A3" s="36" t="s">
        <v>27</v>
      </c>
      <c r="B3" s="36" t="s">
        <v>28</v>
      </c>
      <c r="C3" s="36" t="s">
        <v>29</v>
      </c>
      <c r="D3" s="36" t="s">
        <v>30</v>
      </c>
      <c r="E3" s="36" t="s">
        <v>31</v>
      </c>
      <c r="F3" s="36" t="s">
        <v>32</v>
      </c>
      <c r="H3" s="7"/>
    </row>
    <row r="4">
      <c r="A4" s="25" t="s">
        <v>33</v>
      </c>
      <c r="B4" s="37">
        <v>49500.0</v>
      </c>
      <c r="C4" s="37">
        <v>48000.0</v>
      </c>
      <c r="D4" s="38">
        <f t="shared" ref="D4:D8" si="1">B4-C4</f>
        <v>1500</v>
      </c>
      <c r="E4" s="39">
        <f t="shared" ref="E4:E8" si="2">(B4-C4)/C4</f>
        <v>0.03125</v>
      </c>
      <c r="F4" s="39">
        <f t="shared" ref="F4:F8" si="3">B4/C4-1</f>
        <v>0.03125</v>
      </c>
    </row>
    <row r="5">
      <c r="A5" s="25" t="s">
        <v>34</v>
      </c>
      <c r="B5" s="37">
        <v>34808.0</v>
      </c>
      <c r="C5" s="37">
        <v>30000.0</v>
      </c>
      <c r="D5" s="38">
        <f t="shared" si="1"/>
        <v>4808</v>
      </c>
      <c r="E5" s="39">
        <f t="shared" si="2"/>
        <v>0.1602666667</v>
      </c>
      <c r="F5" s="39">
        <f t="shared" si="3"/>
        <v>0.1602666667</v>
      </c>
    </row>
    <row r="6">
      <c r="A6" s="25" t="s">
        <v>35</v>
      </c>
      <c r="B6" s="37">
        <v>79600.0</v>
      </c>
      <c r="C6" s="37">
        <v>79600.0</v>
      </c>
      <c r="D6" s="38">
        <f t="shared" si="1"/>
        <v>0</v>
      </c>
      <c r="E6" s="39">
        <f t="shared" si="2"/>
        <v>0</v>
      </c>
      <c r="F6" s="39">
        <f t="shared" si="3"/>
        <v>0</v>
      </c>
    </row>
    <row r="7">
      <c r="A7" s="25" t="s">
        <v>36</v>
      </c>
      <c r="B7" s="37">
        <v>65432.0</v>
      </c>
      <c r="C7" s="37">
        <v>65000.0</v>
      </c>
      <c r="D7" s="38">
        <f t="shared" si="1"/>
        <v>432</v>
      </c>
      <c r="E7" s="39">
        <f t="shared" si="2"/>
        <v>0.006646153846</v>
      </c>
      <c r="F7" s="39">
        <f t="shared" si="3"/>
        <v>0.006646153846</v>
      </c>
    </row>
    <row r="8">
      <c r="A8" s="25" t="s">
        <v>37</v>
      </c>
      <c r="B8" s="37">
        <v>86500.0</v>
      </c>
      <c r="C8" s="37">
        <v>86500.0</v>
      </c>
      <c r="D8" s="38">
        <f t="shared" si="1"/>
        <v>0</v>
      </c>
      <c r="E8" s="39">
        <f t="shared" si="2"/>
        <v>0</v>
      </c>
      <c r="F8" s="39">
        <f t="shared" si="3"/>
        <v>0</v>
      </c>
    </row>
    <row r="10">
      <c r="A10" s="22" t="s">
        <v>20</v>
      </c>
      <c r="B10" s="23" t="s">
        <v>21</v>
      </c>
      <c r="C10" s="24" t="s">
        <v>22</v>
      </c>
      <c r="D10" s="40" t="s">
        <v>38</v>
      </c>
    </row>
    <row r="11">
      <c r="A11" s="27" t="s">
        <v>23</v>
      </c>
      <c r="B11" s="28">
        <v>10.0</v>
      </c>
      <c r="C11" s="29">
        <v>0.1</v>
      </c>
      <c r="D11" s="41">
        <f t="shared" ref="D11:D14" si="4">B11*(1-C11)</f>
        <v>9</v>
      </c>
    </row>
    <row r="12">
      <c r="A12" s="30" t="s">
        <v>24</v>
      </c>
      <c r="B12" s="31">
        <v>80.0</v>
      </c>
      <c r="C12" s="32">
        <v>0.2</v>
      </c>
      <c r="D12" s="42">
        <f t="shared" si="4"/>
        <v>64</v>
      </c>
    </row>
    <row r="13">
      <c r="A13" s="30" t="s">
        <v>25</v>
      </c>
      <c r="B13" s="31">
        <v>50.0</v>
      </c>
      <c r="C13" s="32">
        <v>0.15</v>
      </c>
      <c r="D13" s="42">
        <f t="shared" si="4"/>
        <v>42.5</v>
      </c>
    </row>
    <row r="14">
      <c r="A14" s="33" t="s">
        <v>26</v>
      </c>
      <c r="B14" s="34">
        <v>40.0</v>
      </c>
      <c r="C14" s="35">
        <v>0.1</v>
      </c>
      <c r="D14" s="43">
        <f t="shared" si="4"/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</cols>
  <sheetData>
    <row r="1">
      <c r="A1" s="17" t="s">
        <v>39</v>
      </c>
      <c r="B1" s="18"/>
      <c r="C1" s="18"/>
      <c r="D1" s="18"/>
      <c r="E1" s="18"/>
      <c r="F1" s="18"/>
    </row>
    <row r="2">
      <c r="A2" s="25" t="s">
        <v>40</v>
      </c>
    </row>
    <row r="4">
      <c r="A4" s="36" t="s">
        <v>27</v>
      </c>
      <c r="B4" s="36" t="s">
        <v>28</v>
      </c>
      <c r="C4" s="36" t="s">
        <v>29</v>
      </c>
    </row>
    <row r="5">
      <c r="A5" s="28" t="s">
        <v>33</v>
      </c>
      <c r="B5" s="44">
        <v>49500.0</v>
      </c>
      <c r="C5" s="44">
        <v>48000.0</v>
      </c>
      <c r="E5" s="45" t="s">
        <v>41</v>
      </c>
      <c r="F5" s="46">
        <f>SUM(B5:B12)</f>
        <v>315840</v>
      </c>
      <c r="H5" s="47" t="str">
        <f t="shared" ref="H5:H8" si="1">FORMULATEXT(F5)</f>
        <v>=SUM(B5:B12)</v>
      </c>
    </row>
    <row r="6">
      <c r="A6" s="31" t="s">
        <v>34</v>
      </c>
      <c r="B6" s="48">
        <v>34808.0</v>
      </c>
      <c r="C6" s="48">
        <v>30000.0</v>
      </c>
      <c r="E6" s="45" t="s">
        <v>42</v>
      </c>
      <c r="F6" s="46">
        <f>AVERAGE(B5:B12)</f>
        <v>63168</v>
      </c>
      <c r="H6" s="47" t="str">
        <f t="shared" si="1"/>
        <v>=AVERAGE(B5:B12)</v>
      </c>
    </row>
    <row r="7">
      <c r="A7" s="31" t="s">
        <v>35</v>
      </c>
      <c r="B7" s="48">
        <v>79600.0</v>
      </c>
      <c r="C7" s="48">
        <v>79600.0</v>
      </c>
      <c r="E7" s="45" t="s">
        <v>43</v>
      </c>
      <c r="F7" s="49">
        <f>COUNTA(A5:A12)</f>
        <v>6</v>
      </c>
      <c r="G7" s="49">
        <f>COUNT(B5:B12)</f>
        <v>5</v>
      </c>
      <c r="H7" s="47" t="str">
        <f t="shared" si="1"/>
        <v>=COUNTA(A5:A12)</v>
      </c>
    </row>
    <row r="8">
      <c r="A8" s="31" t="s">
        <v>36</v>
      </c>
      <c r="B8" s="48">
        <v>65432.0</v>
      </c>
      <c r="C8" s="48">
        <v>65000.0</v>
      </c>
      <c r="E8" s="45" t="s">
        <v>44</v>
      </c>
      <c r="F8" s="49">
        <f>IFERROR(__xludf.DUMMYFUNCTION("COUNTUNIQUE(A5:A12)"),5.0)</f>
        <v>5</v>
      </c>
      <c r="H8" s="47" t="str">
        <f t="shared" si="1"/>
        <v>=COUNTUNIQUE(A5:A12)</v>
      </c>
    </row>
    <row r="9">
      <c r="A9" s="31" t="s">
        <v>37</v>
      </c>
      <c r="B9" s="48">
        <v>86500.0</v>
      </c>
      <c r="C9" s="48">
        <v>86500.0</v>
      </c>
    </row>
    <row r="10">
      <c r="A10" s="31" t="s">
        <v>37</v>
      </c>
      <c r="E10" s="25" t="s">
        <v>45</v>
      </c>
      <c r="F10" s="47">
        <f>F7-F8</f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10.63"/>
    <col customWidth="1" min="3" max="3" width="2.38"/>
    <col customWidth="1" min="4" max="4" width="1.5"/>
    <col customWidth="1" min="5" max="5" width="7.5"/>
    <col customWidth="1" min="6" max="6" width="7.88"/>
    <col customWidth="1" min="7" max="7" width="2.5"/>
    <col customWidth="1" min="8" max="8" width="12.38"/>
    <col customWidth="1" min="9" max="9" width="7.88"/>
    <col customWidth="1" min="10" max="10" width="3.0"/>
    <col customWidth="1" min="11" max="11" width="12.38"/>
    <col customWidth="1" min="12" max="13" width="7.88"/>
    <col customWidth="1" min="14" max="14" width="3.5"/>
    <col customWidth="1" min="15" max="15" width="9.75"/>
    <col customWidth="1" min="16" max="17" width="7.88"/>
  </cols>
  <sheetData>
    <row r="1">
      <c r="A1" s="17" t="s">
        <v>10</v>
      </c>
      <c r="B1" s="18"/>
      <c r="C1" s="18"/>
      <c r="D1" s="18"/>
      <c r="E1" s="18"/>
      <c r="F1" s="18"/>
    </row>
    <row r="3">
      <c r="A3" s="50"/>
      <c r="B3" s="51"/>
      <c r="E3" s="50"/>
      <c r="F3" s="50"/>
      <c r="H3" s="45" t="s">
        <v>46</v>
      </c>
      <c r="I3" s="52">
        <v>0.1</v>
      </c>
      <c r="K3" s="45" t="s">
        <v>46</v>
      </c>
      <c r="L3" s="52">
        <v>0.1</v>
      </c>
      <c r="O3" s="45" t="s">
        <v>47</v>
      </c>
      <c r="P3" s="52">
        <v>0.3</v>
      </c>
      <c r="Q3" s="52">
        <v>0.1</v>
      </c>
    </row>
    <row r="4" ht="21.75" customHeight="1">
      <c r="A4" s="53" t="s">
        <v>20</v>
      </c>
      <c r="B4" s="54" t="s">
        <v>48</v>
      </c>
      <c r="E4" s="53" t="s">
        <v>22</v>
      </c>
      <c r="F4" s="53" t="s">
        <v>49</v>
      </c>
      <c r="H4" s="53" t="s">
        <v>20</v>
      </c>
      <c r="I4" s="53" t="s">
        <v>50</v>
      </c>
      <c r="K4" s="53" t="s">
        <v>20</v>
      </c>
      <c r="L4" s="53" t="s">
        <v>50</v>
      </c>
      <c r="M4" s="53" t="s">
        <v>51</v>
      </c>
      <c r="O4" s="53" t="s">
        <v>20</v>
      </c>
      <c r="P4" s="53" t="s">
        <v>50</v>
      </c>
      <c r="Q4" s="53" t="s">
        <v>51</v>
      </c>
    </row>
    <row r="5">
      <c r="A5" s="28" t="s">
        <v>23</v>
      </c>
      <c r="B5" s="28">
        <v>10.0</v>
      </c>
      <c r="E5" s="55">
        <v>0.1</v>
      </c>
      <c r="F5" s="56">
        <f t="shared" ref="F5:F8" si="3">B5*(1-E5)</f>
        <v>9</v>
      </c>
      <c r="H5" s="28" t="s">
        <v>23</v>
      </c>
      <c r="I5" s="56">
        <f t="shared" ref="I5:I8" si="4">B5*(1-$I$3)</f>
        <v>9</v>
      </c>
      <c r="K5" s="28" t="s">
        <v>23</v>
      </c>
      <c r="L5" s="56">
        <f t="shared" ref="L5:M5" si="1">$B5*(1-$L$3)</f>
        <v>9</v>
      </c>
      <c r="M5" s="56">
        <f t="shared" si="1"/>
        <v>9</v>
      </c>
      <c r="O5" s="28" t="s">
        <v>23</v>
      </c>
      <c r="P5" s="56">
        <f t="shared" ref="P5:Q5" si="2">$B5*(1-P$3)</f>
        <v>7</v>
      </c>
      <c r="Q5" s="56">
        <f t="shared" si="2"/>
        <v>9</v>
      </c>
    </row>
    <row r="6">
      <c r="A6" s="31" t="s">
        <v>24</v>
      </c>
      <c r="B6" s="31">
        <v>80.0</v>
      </c>
      <c r="E6" s="57">
        <v>0.2</v>
      </c>
      <c r="F6" s="56">
        <f t="shared" si="3"/>
        <v>64</v>
      </c>
      <c r="H6" s="31" t="s">
        <v>24</v>
      </c>
      <c r="I6" s="56">
        <f t="shared" si="4"/>
        <v>72</v>
      </c>
      <c r="K6" s="31" t="s">
        <v>24</v>
      </c>
      <c r="L6" s="56">
        <f t="shared" ref="L6:M6" si="5">$B6*(1-$L$3)</f>
        <v>72</v>
      </c>
      <c r="M6" s="56">
        <f t="shared" si="5"/>
        <v>72</v>
      </c>
      <c r="O6" s="31" t="s">
        <v>24</v>
      </c>
      <c r="P6" s="56">
        <f t="shared" ref="P6:Q6" si="6">$B6*(1-P$3)</f>
        <v>56</v>
      </c>
      <c r="Q6" s="56">
        <f t="shared" si="6"/>
        <v>72</v>
      </c>
    </row>
    <row r="7">
      <c r="A7" s="31" t="s">
        <v>25</v>
      </c>
      <c r="B7" s="31">
        <v>50.0</v>
      </c>
      <c r="E7" s="57">
        <v>0.15</v>
      </c>
      <c r="F7" s="56">
        <f t="shared" si="3"/>
        <v>42.5</v>
      </c>
      <c r="H7" s="31" t="s">
        <v>25</v>
      </c>
      <c r="I7" s="56">
        <f t="shared" si="4"/>
        <v>45</v>
      </c>
      <c r="K7" s="31" t="s">
        <v>25</v>
      </c>
      <c r="L7" s="56">
        <f t="shared" ref="L7:M7" si="7">$B7*(1-$L$3)</f>
        <v>45</v>
      </c>
      <c r="M7" s="56">
        <f t="shared" si="7"/>
        <v>45</v>
      </c>
      <c r="O7" s="31" t="s">
        <v>25</v>
      </c>
      <c r="P7" s="56">
        <f t="shared" ref="P7:Q7" si="8">$B7*(1-P$3)</f>
        <v>35</v>
      </c>
      <c r="Q7" s="56">
        <f t="shared" si="8"/>
        <v>45</v>
      </c>
    </row>
    <row r="8">
      <c r="A8" s="58" t="s">
        <v>26</v>
      </c>
      <c r="B8" s="58">
        <v>40.0</v>
      </c>
      <c r="E8" s="59">
        <v>0.1</v>
      </c>
      <c r="F8" s="56">
        <f t="shared" si="3"/>
        <v>36</v>
      </c>
      <c r="H8" s="58" t="s">
        <v>26</v>
      </c>
      <c r="I8" s="56">
        <f t="shared" si="4"/>
        <v>36</v>
      </c>
      <c r="K8" s="58" t="s">
        <v>26</v>
      </c>
      <c r="L8" s="56">
        <f t="shared" ref="L8:M8" si="9">$B8*(1-$L$3)</f>
        <v>36</v>
      </c>
      <c r="M8" s="56">
        <f t="shared" si="9"/>
        <v>36</v>
      </c>
      <c r="O8" s="58" t="s">
        <v>26</v>
      </c>
      <c r="P8" s="56">
        <f t="shared" ref="P8:Q8" si="10">$B8*(1-P$3)</f>
        <v>28</v>
      </c>
      <c r="Q8" s="56">
        <f t="shared" si="10"/>
        <v>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14.5"/>
  </cols>
  <sheetData>
    <row r="1">
      <c r="A1" s="17" t="s">
        <v>11</v>
      </c>
      <c r="B1" s="18"/>
      <c r="C1" s="18"/>
      <c r="D1" s="18"/>
      <c r="E1" s="18"/>
      <c r="F1" s="18"/>
    </row>
    <row r="2">
      <c r="A2" s="25" t="s">
        <v>52</v>
      </c>
    </row>
    <row r="4">
      <c r="B4" s="60" t="s">
        <v>53</v>
      </c>
      <c r="C4" s="60" t="s">
        <v>54</v>
      </c>
    </row>
    <row r="5">
      <c r="B5" s="61">
        <v>20.0</v>
      </c>
    </row>
    <row r="6">
      <c r="B6" s="62" t="s">
        <v>55</v>
      </c>
      <c r="C6" s="63"/>
    </row>
    <row r="7">
      <c r="B7" s="64">
        <v>20.0</v>
      </c>
      <c r="C7" s="65"/>
    </row>
    <row r="8">
      <c r="B8" s="66">
        <f t="shared" ref="B8:C8" si="1">sum(B5:B7)</f>
        <v>40</v>
      </c>
      <c r="C8" s="66">
        <f t="shared" si="1"/>
        <v>0</v>
      </c>
    </row>
    <row r="9">
      <c r="B9" s="47" t="str">
        <f t="shared" ref="B9:C9" si="2">FORMULATEXT(B8)</f>
        <v>=sum(B5:B7)</v>
      </c>
      <c r="C9" s="47" t="str">
        <f t="shared" si="2"/>
        <v>=sum(C5:C7)</v>
      </c>
    </row>
    <row r="11">
      <c r="B11" s="25" t="s">
        <v>56</v>
      </c>
    </row>
    <row r="12">
      <c r="B12" s="63" t="s">
        <v>55</v>
      </c>
      <c r="C12" s="67">
        <f>B12+2</f>
        <v>22</v>
      </c>
    </row>
    <row r="13">
      <c r="B13" s="25" t="s">
        <v>57</v>
      </c>
    </row>
    <row r="14">
      <c r="B14" s="25">
        <v>20.0</v>
      </c>
    </row>
    <row r="15">
      <c r="B15" s="63" t="s">
        <v>55</v>
      </c>
    </row>
    <row r="16">
      <c r="B16" s="65">
        <v>20.0</v>
      </c>
    </row>
    <row r="17">
      <c r="B17" s="8">
        <f>sum(B14:B16)</f>
        <v>40</v>
      </c>
      <c r="C17" s="47" t="str">
        <f t="shared" ref="C17:C18" si="3">FORMULATEXT(B17)</f>
        <v>=sum(B14:B16)</v>
      </c>
    </row>
    <row r="18">
      <c r="B18" s="68">
        <f>B14+B15+B16</f>
        <v>60</v>
      </c>
      <c r="C18" s="47" t="str">
        <f t="shared" si="3"/>
        <v>=B14+B15+B16</v>
      </c>
    </row>
  </sheetData>
  <drawing r:id="rId2"/>
  <legacyDrawing r:id="rId3"/>
</worksheet>
</file>