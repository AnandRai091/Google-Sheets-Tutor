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IndexMatch" sheetId="2" r:id="rId6"/>
    <sheet state="visible" name="Challenge IndexMatch" sheetId="3" r:id="rId7"/>
    <sheet state="visible" name="AdvancedIndex" sheetId="4" r:id="rId8"/>
    <sheet state="visible" name="Array Formulas" sheetId="5" r:id="rId9"/>
    <sheet state="visible" name="INDIRECT" sheetId="6" r:id="rId10"/>
    <sheet state="visible" name="Sales &amp; Marketing" sheetId="7" r:id="rId11"/>
    <sheet state="visible" name="Finance" sheetId="8" r:id="rId12"/>
    <sheet state="visible" name="Procurement" sheetId="9" r:id="rId13"/>
    <sheet state="visible" name="Random Data" sheetId="10" r:id="rId14"/>
    <sheet state="visible" name="SEQUENCE" sheetId="11" r:id="rId15"/>
  </sheets>
  <definedNames/>
  <calcPr/>
</workbook>
</file>

<file path=xl/sharedStrings.xml><?xml version="1.0" encoding="utf-8"?>
<sst xmlns="http://schemas.openxmlformats.org/spreadsheetml/2006/main" count="410" uniqueCount="207">
  <si>
    <t>Google Sheets Essentials</t>
  </si>
  <si>
    <t>Advanced Functions &amp; Formula Combinations</t>
  </si>
  <si>
    <t>LINK</t>
  </si>
  <si>
    <t>TOPIC</t>
  </si>
  <si>
    <t>COMPREHENSION</t>
  </si>
  <si>
    <t>YOUR NOTES</t>
  </si>
  <si>
    <t>INDEX MATCH for Complex Lookups</t>
  </si>
  <si>
    <t>Select One…</t>
  </si>
  <si>
    <t>Challenge: Find the Mistake! Index Match Problem</t>
  </si>
  <si>
    <t>INDEX MATCH with Multiple Headers (Pro Tip)</t>
  </si>
  <si>
    <t>Array Formulas &amp; Functions</t>
  </si>
  <si>
    <t>INDIRECT Function: Lookup from Different Sheets</t>
  </si>
  <si>
    <t>Generate Random Data &amp; Text (RANDBETWEEN)</t>
  </si>
  <si>
    <t>The Power of SEQUENCE Function (Dynamic Yearly Calendar)</t>
  </si>
  <si>
    <t>Index Match for Complex Lookups</t>
  </si>
  <si>
    <t>Sales by Product Group</t>
  </si>
  <si>
    <t>January</t>
  </si>
  <si>
    <t>February</t>
  </si>
  <si>
    <t>March</t>
  </si>
  <si>
    <t>April</t>
  </si>
  <si>
    <t>May</t>
  </si>
  <si>
    <t>June</t>
  </si>
  <si>
    <t>Laptop</t>
  </si>
  <si>
    <t>Men</t>
  </si>
  <si>
    <t>Phone Case</t>
  </si>
  <si>
    <t>Women</t>
  </si>
  <si>
    <t>Unisex</t>
  </si>
  <si>
    <t>Products</t>
  </si>
  <si>
    <t>Find the Mistake: INDEX MATCH</t>
  </si>
  <si>
    <t>--&gt;</t>
  </si>
  <si>
    <t>1. The formulas in J7 to J9 are wrong! They return the incorrect values. Find the mistake and correct them.</t>
  </si>
  <si>
    <t xml:space="preserve">2. Find the Bonus % (column Q) for each employee. The lookup table is in U:W. </t>
  </si>
  <si>
    <t>Full name</t>
  </si>
  <si>
    <t>Start Date</t>
  </si>
  <si>
    <t>Salary</t>
  </si>
  <si>
    <t>Bonus %</t>
  </si>
  <si>
    <t>Comment</t>
  </si>
  <si>
    <t>Name</t>
  </si>
  <si>
    <t>Product</t>
  </si>
  <si>
    <t>Walter Miller</t>
  </si>
  <si>
    <t>Increased from 10%</t>
  </si>
  <si>
    <t>Matilda Parry</t>
  </si>
  <si>
    <t>Kim West</t>
  </si>
  <si>
    <t>Robert Blume</t>
  </si>
  <si>
    <t>Lyric Wise</t>
  </si>
  <si>
    <t>Brigitte Bond</t>
  </si>
  <si>
    <t>Vanessa Chavez</t>
  </si>
  <si>
    <t>Increase as of Feb</t>
  </si>
  <si>
    <t>Reid Good</t>
  </si>
  <si>
    <t>Christopher Sharp</t>
  </si>
  <si>
    <t>Robert Hurley</t>
  </si>
  <si>
    <t>Jessica Lowe</t>
  </si>
  <si>
    <t>Makai Bond</t>
  </si>
  <si>
    <t>Evie Williamson</t>
  </si>
  <si>
    <t>Kristina Mclean</t>
  </si>
  <si>
    <t>Wolfgang Ramjac</t>
  </si>
  <si>
    <t>Paul Wells</t>
  </si>
  <si>
    <t>Paul Garza</t>
  </si>
  <si>
    <t>Robert Richardson</t>
  </si>
  <si>
    <t>Lamar Fry</t>
  </si>
  <si>
    <t>Natalie Porter</t>
  </si>
  <si>
    <t>Consider increasing</t>
  </si>
  <si>
    <t>Ewan Thompson</t>
  </si>
  <si>
    <t>Jim Mcguire</t>
  </si>
  <si>
    <t>Review after project</t>
  </si>
  <si>
    <t>Stevie Bridge</t>
  </si>
  <si>
    <t>Tommy Dixon</t>
  </si>
  <si>
    <t>Harry Burke</t>
  </si>
  <si>
    <t>Robert Spear</t>
  </si>
  <si>
    <t>Aydin Merritt</t>
  </si>
  <si>
    <t>James Willard</t>
  </si>
  <si>
    <t>Zac Fletcher</t>
  </si>
  <si>
    <t>Maria Tot</t>
  </si>
  <si>
    <t>Peter Ramsy</t>
  </si>
  <si>
    <t>Matilda Collier</t>
  </si>
  <si>
    <t>Index Match with Multiple Headers</t>
  </si>
  <si>
    <t>Sales</t>
  </si>
  <si>
    <t>Quantity</t>
  </si>
  <si>
    <t>Array Formulas</t>
  </si>
  <si>
    <t>Create Your Own Arrays</t>
  </si>
  <si>
    <t>How many earn more than</t>
  </si>
  <si>
    <t>Get Month Number</t>
  </si>
  <si>
    <t>Text length</t>
  </si>
  <si>
    <t>text 1</t>
  </si>
  <si>
    <t>another text</t>
  </si>
  <si>
    <t>one more</t>
  </si>
  <si>
    <t>Total text length</t>
  </si>
  <si>
    <t>Total text length - array</t>
  </si>
  <si>
    <t>Use Arrays to Debug Functions</t>
  </si>
  <si>
    <t>Who earns more than 30,000?</t>
  </si>
  <si>
    <t>Append Array Results</t>
  </si>
  <si>
    <t>INDIRECT Function for More Flexibility</t>
  </si>
  <si>
    <t>Sales &amp; Marketing</t>
  </si>
  <si>
    <t>Total Cost</t>
  </si>
  <si>
    <t>Average Salary</t>
  </si>
  <si>
    <t>Median Salary</t>
  </si>
  <si>
    <t>Sales &amp; Marketing Department</t>
  </si>
  <si>
    <t>Position</t>
  </si>
  <si>
    <t>Alissa Mitchell</t>
  </si>
  <si>
    <t>Marketing Analyst</t>
  </si>
  <si>
    <t>Marketing Assistant</t>
  </si>
  <si>
    <t>Amber Stevens</t>
  </si>
  <si>
    <t>Project Manager</t>
  </si>
  <si>
    <t>Digital Marketing Manager</t>
  </si>
  <si>
    <t>Jordan Parry</t>
  </si>
  <si>
    <t>Digital Marketing</t>
  </si>
  <si>
    <t>Charlie Chambers</t>
  </si>
  <si>
    <t>Judy Bell</t>
  </si>
  <si>
    <t>Marketing Manager</t>
  </si>
  <si>
    <t>Heidi Medina</t>
  </si>
  <si>
    <t>Projects Lead</t>
  </si>
  <si>
    <t>Sales Assistant</t>
  </si>
  <si>
    <t>Sales Representative</t>
  </si>
  <si>
    <t>Sales Analyst</t>
  </si>
  <si>
    <t>Sales Reporting</t>
  </si>
  <si>
    <t>Sales Projects</t>
  </si>
  <si>
    <t>Sales Project Manager</t>
  </si>
  <si>
    <t>Sales Manager</t>
  </si>
  <si>
    <t>Sales Reporting Head</t>
  </si>
  <si>
    <t>Head of Sales</t>
  </si>
  <si>
    <t>Finance Department</t>
  </si>
  <si>
    <t>Daniel Garrett</t>
  </si>
  <si>
    <t>Accountant</t>
  </si>
  <si>
    <t>Skye Bennett</t>
  </si>
  <si>
    <t>Braeden Wilkins</t>
  </si>
  <si>
    <t>Donald Caldwell</t>
  </si>
  <si>
    <t>Financial Analyst</t>
  </si>
  <si>
    <t>Richard Elliot</t>
  </si>
  <si>
    <t>Lukas Hofer</t>
  </si>
  <si>
    <t>Tax Analyst</t>
  </si>
  <si>
    <t>Gary Miller</t>
  </si>
  <si>
    <t>Controller</t>
  </si>
  <si>
    <t>Holly Macdonald</t>
  </si>
  <si>
    <t>Insurance Advisor</t>
  </si>
  <si>
    <t>Crystal Doyle</t>
  </si>
  <si>
    <t>Finance Director</t>
  </si>
  <si>
    <t>Imogen Clarke</t>
  </si>
  <si>
    <t>Tax Professional</t>
  </si>
  <si>
    <t>Paul Hill</t>
  </si>
  <si>
    <t>Finance Manager</t>
  </si>
  <si>
    <t>Procurement Department</t>
  </si>
  <si>
    <t>Ann Withers</t>
  </si>
  <si>
    <t>Procurement Assistant</t>
  </si>
  <si>
    <t>Robert Marquez</t>
  </si>
  <si>
    <t>Buyer</t>
  </si>
  <si>
    <t>Robert Musser</t>
  </si>
  <si>
    <t>Matthew Ross</t>
  </si>
  <si>
    <t>Lead Buyer</t>
  </si>
  <si>
    <t>Esme Carney</t>
  </si>
  <si>
    <t>Tom Wood</t>
  </si>
  <si>
    <t>Betina Bauer</t>
  </si>
  <si>
    <t>Cora Briggs</t>
  </si>
  <si>
    <t>Mike Saban</t>
  </si>
  <si>
    <t>Category Manager</t>
  </si>
  <si>
    <t>Corinna Schmidt</t>
  </si>
  <si>
    <t>Alex Collins</t>
  </si>
  <si>
    <t>Procurement Manager</t>
  </si>
  <si>
    <t>Generate Random Data &amp; Text</t>
  </si>
  <si>
    <t>To Do</t>
  </si>
  <si>
    <t>1. Without Functions</t>
  </si>
  <si>
    <t>2. With Functions</t>
  </si>
  <si>
    <t>3. No Repetitions (Randomly assign names to teams)</t>
  </si>
  <si>
    <t>Create 10 rows of random dates from 1st of March 2020 to 1st of June 2020</t>
  </si>
  <si>
    <t>Numbers</t>
  </si>
  <si>
    <t>Text</t>
  </si>
  <si>
    <t>RAND</t>
  </si>
  <si>
    <t>RANDBETWEEN</t>
  </si>
  <si>
    <t>RANDARRAY</t>
  </si>
  <si>
    <t>Random Division</t>
  </si>
  <si>
    <t>Utility</t>
  </si>
  <si>
    <t>Team</t>
  </si>
  <si>
    <t>Productivity</t>
  </si>
  <si>
    <t>A</t>
  </si>
  <si>
    <t>Bell J</t>
  </si>
  <si>
    <t>Game</t>
  </si>
  <si>
    <t>Miller W</t>
  </si>
  <si>
    <t>Bond B</t>
  </si>
  <si>
    <t>Bridge S</t>
  </si>
  <si>
    <t>Mclean K</t>
  </si>
  <si>
    <t>Burke H</t>
  </si>
  <si>
    <t>Lowe J</t>
  </si>
  <si>
    <t>Chambers C</t>
  </si>
  <si>
    <t>B</t>
  </si>
  <si>
    <t>Fletcher Z</t>
  </si>
  <si>
    <t>Chavez V</t>
  </si>
  <si>
    <t>Williamson E</t>
  </si>
  <si>
    <t>Dixon T</t>
  </si>
  <si>
    <t>Mitchell A</t>
  </si>
  <si>
    <t>West K</t>
  </si>
  <si>
    <t>Hurley R</t>
  </si>
  <si>
    <t>C</t>
  </si>
  <si>
    <t>Parry J</t>
  </si>
  <si>
    <t>Medina H</t>
  </si>
  <si>
    <t>Richardson R</t>
  </si>
  <si>
    <t>D</t>
  </si>
  <si>
    <t>Parry M</t>
  </si>
  <si>
    <t>Stevens A</t>
  </si>
  <si>
    <t>The Power of the Sequence Function</t>
  </si>
  <si>
    <t>Basics</t>
  </si>
  <si>
    <t>Sun</t>
  </si>
  <si>
    <t>Mon</t>
  </si>
  <si>
    <t>Tue</t>
  </si>
  <si>
    <t>Wed</t>
  </si>
  <si>
    <t>Thu</t>
  </si>
  <si>
    <t>Fri</t>
  </si>
  <si>
    <t>Sat</t>
  </si>
  <si>
    <t>SEQUENCE For Dynamic Indexing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</si>
</sst>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/d/yyyy"/>
    <numFmt numFmtId="166" formatCode="mmm-dd"/>
  </numFmts>
  <fonts count="13">
    <font>
      <sz val="10.0"/>
      <color rgb="FF000000"/>
      <name val="Roboto"/>
      <scheme val="minor"/>
    </font>
    <font>
      <color theme="1"/>
      <name val="Roboto"/>
      <scheme val="minor"/>
    </font>
    <font>
      <b/>
      <color rgb="FFFFF2CC"/>
      <name val="Roboto"/>
      <scheme val="minor"/>
    </font>
    <font>
      <b/>
      <sz val="14.0"/>
      <color rgb="FFFFFFFF"/>
      <name val="Roboto"/>
      <scheme val="minor"/>
    </font>
    <font>
      <b/>
      <color rgb="FFFFFFFF"/>
      <name val="Roboto"/>
      <scheme val="minor"/>
    </font>
    <font>
      <u/>
      <color rgb="FF1155CC"/>
      <name val="Roboto"/>
      <scheme val="minor"/>
    </font>
    <font>
      <b/>
      <color theme="1"/>
      <name val="Roboto"/>
      <scheme val="minor"/>
    </font>
    <font>
      <u/>
      <color rgb="FF1155CC"/>
    </font>
    <font>
      <b/>
      <sz val="11.0"/>
      <color theme="1"/>
      <name val="Roboto"/>
      <scheme val="minor"/>
    </font>
    <font>
      <b/>
      <color theme="1"/>
      <name val="Roboto"/>
    </font>
    <font>
      <color theme="1"/>
      <name val="Roboto"/>
    </font>
    <font>
      <color theme="1"/>
      <name val="Calibri"/>
    </font>
    <font>
      <sz val="8.0"/>
      <color rgb="FFB7B7B7"/>
      <name val="Roboto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FFFAEC"/>
        <bgColor rgb="FFFFFAEC"/>
      </patternFill>
    </fill>
    <fill>
      <patternFill patternType="solid">
        <fgColor rgb="FFF4FFF9"/>
        <bgColor rgb="FFF4FFF9"/>
      </patternFill>
    </fill>
    <fill>
      <patternFill patternType="solid">
        <fgColor rgb="FF999999"/>
        <bgColor rgb="FF999999"/>
      </patternFill>
    </fill>
    <fill>
      <patternFill patternType="solid">
        <fgColor rgb="FFD9F9FF"/>
        <bgColor rgb="FFD9F9FF"/>
      </patternFill>
    </fill>
  </fills>
  <borders count="13">
    <border/>
    <border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bottom style="thin">
        <color rgb="FF434343"/>
      </bottom>
    </border>
    <border>
      <bottom style="thick">
        <color rgb="FF3E50B3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bottom style="thick">
        <color rgb="FF02A846"/>
      </bottom>
    </border>
    <border>
      <top style="thin">
        <color rgb="FFCCCCCC"/>
      </top>
      <bottom style="thin">
        <color rgb="FFCCCCCC"/>
      </bottom>
    </border>
    <border>
      <right style="thin">
        <color rgb="FF999999"/>
      </right>
    </border>
    <border>
      <right style="thin">
        <color rgb="FF999999"/>
      </right>
      <bottom style="thick">
        <color rgb="FF3E50B3"/>
      </bottom>
    </border>
    <border>
      <right style="thin">
        <color rgb="FF999999"/>
      </right>
      <bottom style="thin">
        <color rgb="FFCCCCCC"/>
      </bottom>
    </border>
    <border>
      <right style="thin">
        <color rgb="FF999999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1" numFmtId="0" xfId="0" applyFill="1" applyFont="1"/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1" numFmtId="0" xfId="0" applyBorder="1" applyFont="1"/>
    <xf borderId="1" fillId="0" fontId="7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0" fillId="3" fontId="1" numFmtId="0" xfId="0" applyAlignment="1" applyFont="1">
      <alignment shrinkToFit="0" wrapText="1"/>
    </xf>
    <xf borderId="3" fillId="0" fontId="8" numFmtId="0" xfId="0" applyAlignment="1" applyBorder="1" applyFont="1">
      <alignment readingOrder="0"/>
    </xf>
    <xf borderId="3" fillId="0" fontId="1" numFmtId="0" xfId="0" applyBorder="1" applyFont="1"/>
    <xf borderId="0" fillId="0" fontId="1" numFmtId="0" xfId="0" applyAlignment="1" applyFont="1">
      <alignment readingOrder="0"/>
    </xf>
    <xf borderId="4" fillId="0" fontId="9" numFmtId="0" xfId="0" applyAlignment="1" applyBorder="1" applyFont="1">
      <alignment horizontal="left" readingOrder="0" vertical="bottom"/>
    </xf>
    <xf borderId="5" fillId="4" fontId="1" numFmtId="0" xfId="0" applyAlignment="1" applyBorder="1" applyFill="1" applyFont="1">
      <alignment readingOrder="0"/>
    </xf>
    <xf borderId="6" fillId="0" fontId="9" numFmtId="164" xfId="0" applyAlignment="1" applyBorder="1" applyFont="1" applyNumberFormat="1">
      <alignment vertical="bottom"/>
    </xf>
    <xf borderId="6" fillId="0" fontId="10" numFmtId="164" xfId="0" applyAlignment="1" applyBorder="1" applyFont="1" applyNumberFormat="1">
      <alignment vertical="bottom"/>
    </xf>
    <xf borderId="5" fillId="5" fontId="1" numFmtId="164" xfId="0" applyAlignment="1" applyBorder="1" applyFill="1" applyFont="1" applyNumberFormat="1">
      <alignment readingOrder="0"/>
    </xf>
    <xf borderId="0" fillId="0" fontId="1" numFmtId="165" xfId="0" applyFont="1" applyNumberFormat="1"/>
    <xf borderId="0" fillId="6" fontId="1" numFmtId="0" xfId="0" applyAlignment="1" applyFill="1" applyFont="1">
      <alignment readingOrder="0"/>
    </xf>
    <xf borderId="0" fillId="6" fontId="1" numFmtId="0" xfId="0" applyFont="1"/>
    <xf borderId="7" fillId="0" fontId="9" numFmtId="0" xfId="0" applyAlignment="1" applyBorder="1" applyFont="1">
      <alignment horizontal="left" readingOrder="0" vertical="bottom"/>
    </xf>
    <xf borderId="0" fillId="0" fontId="11" numFmtId="0" xfId="0" applyAlignment="1" applyFont="1">
      <alignment vertical="bottom"/>
    </xf>
    <xf borderId="6" fillId="0" fontId="10" numFmtId="0" xfId="0" applyAlignment="1" applyBorder="1" applyFont="1">
      <alignment vertical="bottom"/>
    </xf>
    <xf borderId="6" fillId="0" fontId="10" numFmtId="165" xfId="0" applyAlignment="1" applyBorder="1" applyFont="1" applyNumberFormat="1">
      <alignment horizontal="right" vertical="bottom"/>
    </xf>
    <xf borderId="6" fillId="0" fontId="10" numFmtId="3" xfId="0" applyAlignment="1" applyBorder="1" applyFont="1" applyNumberFormat="1">
      <alignment horizontal="right" vertical="bottom"/>
    </xf>
    <xf borderId="6" fillId="0" fontId="10" numFmtId="10" xfId="0" applyAlignment="1" applyBorder="1" applyFont="1" applyNumberFormat="1">
      <alignment horizontal="right" vertical="bottom"/>
    </xf>
    <xf borderId="0" fillId="0" fontId="10" numFmtId="0" xfId="0" applyAlignment="1" applyFont="1">
      <alignment horizontal="right" vertical="bottom"/>
    </xf>
    <xf borderId="6" fillId="0" fontId="10" numFmtId="9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8" fillId="0" fontId="10" numFmtId="165" xfId="0" applyAlignment="1" applyBorder="1" applyFont="1" applyNumberFormat="1">
      <alignment horizontal="right" vertical="bottom"/>
    </xf>
    <xf borderId="8" fillId="0" fontId="10" numFmtId="3" xfId="0" applyAlignment="1" applyBorder="1" applyFont="1" applyNumberFormat="1">
      <alignment horizontal="right" vertical="bottom"/>
    </xf>
    <xf borderId="8" fillId="0" fontId="10" numFmtId="9" xfId="0" applyAlignment="1" applyBorder="1" applyFont="1" applyNumberFormat="1">
      <alignment horizontal="right" vertical="bottom"/>
    </xf>
    <xf borderId="8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2" numFmtId="0" xfId="0" applyAlignment="1" applyFont="1">
      <alignment readingOrder="0"/>
    </xf>
    <xf borderId="9" fillId="0" fontId="6" numFmtId="0" xfId="0" applyAlignment="1" applyBorder="1" applyFont="1">
      <alignment readingOrder="0"/>
    </xf>
    <xf borderId="10" fillId="0" fontId="9" numFmtId="0" xfId="0" applyAlignment="1" applyBorder="1" applyFont="1">
      <alignment horizontal="left" readingOrder="0" vertical="bottom"/>
    </xf>
    <xf borderId="11" fillId="0" fontId="1" numFmtId="3" xfId="0" applyBorder="1" applyFont="1" applyNumberFormat="1"/>
    <xf borderId="6" fillId="0" fontId="1" numFmtId="3" xfId="0" applyBorder="1" applyFont="1" applyNumberFormat="1"/>
    <xf borderId="5" fillId="7" fontId="1" numFmtId="0" xfId="0" applyAlignment="1" applyBorder="1" applyFill="1" applyFont="1">
      <alignment readingOrder="0"/>
    </xf>
    <xf borderId="8" fillId="0" fontId="9" numFmtId="164" xfId="0" applyAlignment="1" applyBorder="1" applyFont="1" applyNumberFormat="1">
      <alignment vertical="bottom"/>
    </xf>
    <xf borderId="8" fillId="0" fontId="10" numFmtId="164" xfId="0" applyAlignment="1" applyBorder="1" applyFont="1" applyNumberFormat="1">
      <alignment vertical="bottom"/>
    </xf>
    <xf borderId="12" fillId="0" fontId="1" numFmtId="3" xfId="0" applyBorder="1" applyFont="1" applyNumberFormat="1"/>
    <xf borderId="8" fillId="0" fontId="1" numFmtId="3" xfId="0" applyBorder="1" applyFont="1" applyNumberFormat="1"/>
    <xf borderId="0" fillId="0" fontId="1" numFmtId="164" xfId="0" applyFont="1" applyNumberFormat="1"/>
    <xf borderId="0" fillId="0" fontId="6" numFmtId="0" xfId="0" applyAlignment="1" applyFont="1">
      <alignment horizontal="right" readingOrder="0" shrinkToFit="0" wrapText="1"/>
    </xf>
    <xf borderId="0" fillId="5" fontId="1" numFmtId="0" xfId="0" applyFont="1"/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6" numFmtId="0" xfId="0" applyAlignment="1" applyFont="1">
      <alignment horizontal="right" readingOrder="0"/>
    </xf>
    <xf borderId="0" fillId="0" fontId="9" numFmtId="0" xfId="0" applyAlignment="1" applyFont="1">
      <alignment horizontal="left" readingOrder="0" vertical="bottom"/>
    </xf>
    <xf borderId="0" fillId="0" fontId="1" numFmtId="3" xfId="0" applyAlignment="1" applyFont="1" applyNumberFormat="1">
      <alignment readingOrder="0"/>
    </xf>
    <xf borderId="5" fillId="4" fontId="1" numFmtId="165" xfId="0" applyAlignment="1" applyBorder="1" applyFont="1" applyNumberFormat="1">
      <alignment readingOrder="0"/>
    </xf>
    <xf borderId="5" fillId="4" fontId="1" numFmtId="164" xfId="0" applyAlignment="1" applyBorder="1" applyFont="1" applyNumberFormat="1">
      <alignment readingOrder="0"/>
    </xf>
    <xf borderId="0" fillId="4" fontId="8" numFmtId="0" xfId="0" applyAlignment="1" applyFont="1">
      <alignment horizontal="center" readingOrder="0"/>
    </xf>
    <xf borderId="0" fillId="5" fontId="1" numFmtId="165" xfId="0" applyFont="1" applyNumberFormat="1"/>
    <xf borderId="4" fillId="0" fontId="9" numFmtId="0" xfId="0" applyAlignment="1" applyBorder="1" applyFont="1">
      <alignment horizontal="center" readingOrder="0" vertical="bottom"/>
    </xf>
    <xf borderId="5" fillId="0" fontId="1" numFmtId="166" xfId="0" applyBorder="1" applyFont="1" applyNumberFormat="1"/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AE5E5"/>
          <bgColor rgb="FFFAE5E5"/>
        </patternFill>
      </fill>
      <border/>
    </dxf>
    <dxf>
      <font>
        <b/>
      </font>
      <fill>
        <patternFill patternType="solid">
          <fgColor rgb="FFB6D7A8"/>
          <bgColor rgb="FFB6D7A8"/>
        </patternFill>
      </fill>
      <border/>
    </dxf>
    <dxf>
      <font>
        <color rgb="FFD9D9D9"/>
      </font>
      <fill>
        <patternFill patternType="none"/>
      </fill>
      <border/>
    </dxf>
    <dxf>
      <font/>
      <fill>
        <patternFill patternType="solid">
          <fgColor rgb="FFFFFAEC"/>
          <bgColor rgb="FFFFFAE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E50B3"/>
      </a:accent1>
      <a:accent2>
        <a:srgbClr val="F44234"/>
      </a:accent2>
      <a:accent3>
        <a:srgbClr val="E2F54C"/>
      </a:accent3>
      <a:accent4>
        <a:srgbClr val="02A846"/>
      </a:accent4>
      <a:accent5>
        <a:srgbClr val="E71D62"/>
      </a:accent5>
      <a:accent6>
        <a:srgbClr val="9B26AE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1D6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9.5"/>
    <col customWidth="1" min="3" max="3" width="36.75"/>
    <col customWidth="1" min="4" max="4" width="3.13"/>
    <col customWidth="1" min="5" max="5" width="21.75"/>
    <col customWidth="1" min="6" max="6" width="37.63"/>
    <col customWidth="1" min="7" max="7" width="7.63"/>
  </cols>
  <sheetData>
    <row r="1">
      <c r="A1" s="1"/>
      <c r="B1" s="2" t="s">
        <v>0</v>
      </c>
    </row>
    <row r="2">
      <c r="A2" s="1"/>
      <c r="B2" s="3" t="s">
        <v>1</v>
      </c>
    </row>
    <row r="3">
      <c r="A3" s="4"/>
      <c r="B3" s="5"/>
      <c r="C3" s="4"/>
      <c r="D3" s="4"/>
      <c r="E3" s="6"/>
      <c r="F3" s="4"/>
      <c r="G3" s="4"/>
    </row>
    <row r="4" ht="24.75" customHeight="1">
      <c r="B4" s="7" t="s">
        <v>2</v>
      </c>
      <c r="C4" s="7" t="s">
        <v>3</v>
      </c>
      <c r="D4" s="8"/>
      <c r="E4" s="7" t="s">
        <v>4</v>
      </c>
      <c r="F4" s="7" t="s">
        <v>5</v>
      </c>
      <c r="G4" s="8"/>
    </row>
    <row r="5" ht="24.0" customHeight="1">
      <c r="A5" s="9"/>
      <c r="B5" s="10" t="s">
        <v>2</v>
      </c>
      <c r="C5" s="11" t="s">
        <v>6</v>
      </c>
      <c r="D5" s="9"/>
      <c r="E5" s="12" t="s">
        <v>7</v>
      </c>
      <c r="F5" s="9"/>
      <c r="G5" s="9"/>
    </row>
    <row r="6">
      <c r="A6" s="13"/>
      <c r="B6" s="10" t="s">
        <v>2</v>
      </c>
      <c r="C6" s="14" t="s">
        <v>8</v>
      </c>
      <c r="D6" s="13"/>
      <c r="E6" s="15" t="s">
        <v>7</v>
      </c>
      <c r="F6" s="13"/>
      <c r="G6" s="13"/>
    </row>
    <row r="7">
      <c r="A7" s="13"/>
      <c r="B7" s="10" t="s">
        <v>2</v>
      </c>
      <c r="C7" s="14" t="s">
        <v>9</v>
      </c>
      <c r="D7" s="13"/>
      <c r="E7" s="15" t="s">
        <v>7</v>
      </c>
      <c r="F7" s="13"/>
      <c r="G7" s="13"/>
    </row>
    <row r="8">
      <c r="A8" s="13"/>
      <c r="B8" s="10" t="s">
        <v>2</v>
      </c>
      <c r="C8" s="14" t="s">
        <v>10</v>
      </c>
      <c r="D8" s="13"/>
      <c r="E8" s="15" t="s">
        <v>7</v>
      </c>
      <c r="F8" s="13"/>
      <c r="G8" s="13"/>
    </row>
    <row r="9">
      <c r="A9" s="13"/>
      <c r="B9" s="10" t="s">
        <v>2</v>
      </c>
      <c r="C9" s="14" t="s">
        <v>11</v>
      </c>
      <c r="D9" s="13"/>
      <c r="E9" s="15" t="s">
        <v>7</v>
      </c>
      <c r="F9" s="13"/>
      <c r="G9" s="13"/>
    </row>
    <row r="10">
      <c r="A10" s="13"/>
      <c r="B10" s="10" t="s">
        <v>2</v>
      </c>
      <c r="C10" s="14" t="s">
        <v>12</v>
      </c>
      <c r="D10" s="13"/>
      <c r="E10" s="15" t="s">
        <v>7</v>
      </c>
      <c r="F10" s="13"/>
      <c r="G10" s="13"/>
    </row>
    <row r="11">
      <c r="A11" s="13"/>
      <c r="B11" s="10" t="s">
        <v>2</v>
      </c>
      <c r="C11" s="14" t="s">
        <v>13</v>
      </c>
      <c r="D11" s="13"/>
      <c r="E11" s="15" t="s">
        <v>7</v>
      </c>
      <c r="F11" s="13"/>
      <c r="G11" s="13"/>
    </row>
    <row r="12">
      <c r="A12" s="13"/>
      <c r="B12" s="13"/>
      <c r="C12" s="14"/>
      <c r="D12" s="13"/>
      <c r="E12" s="15"/>
      <c r="F12" s="13"/>
      <c r="G12" s="13"/>
    </row>
    <row r="13">
      <c r="A13" s="13"/>
      <c r="B13" s="13"/>
      <c r="C13" s="14"/>
      <c r="D13" s="13"/>
      <c r="E13" s="15"/>
      <c r="F13" s="13"/>
      <c r="G13" s="13"/>
    </row>
    <row r="14" ht="9.75" customHeight="1">
      <c r="A14" s="4"/>
      <c r="B14" s="4"/>
      <c r="C14" s="16"/>
      <c r="D14" s="4"/>
      <c r="E14" s="4"/>
      <c r="F14" s="4"/>
      <c r="G14" s="4"/>
    </row>
  </sheetData>
  <mergeCells count="2">
    <mergeCell ref="B1:G1"/>
    <mergeCell ref="B2:G2"/>
  </mergeCells>
  <conditionalFormatting sqref="B5:F13">
    <cfRule type="expression" dxfId="0" priority="1">
      <formula>$E5="Done &amp; Understood"</formula>
    </cfRule>
  </conditionalFormatting>
  <conditionalFormatting sqref="B5:F13">
    <cfRule type="expression" dxfId="1" priority="2">
      <formula>$E5="Done but needs practice"</formula>
    </cfRule>
  </conditionalFormatting>
  <conditionalFormatting sqref="B5:F13">
    <cfRule type="expression" dxfId="2" priority="3">
      <formula>$E5="Review Later"</formula>
    </cfRule>
  </conditionalFormatting>
  <dataValidations>
    <dataValidation type="list" allowBlank="1" showInputMessage="1" prompt="Select your level of understanding" sqref="E5:E11">
      <formula1>"Select One…,Done &amp; Understood,Done but needs practice,Review Later"</formula1>
    </dataValidation>
  </dataValidations>
  <hyperlinks>
    <hyperlink display="LINK" location="IndexMatch!A1" ref="B5"/>
    <hyperlink display="LINK" location="'Challenge IndexMatch'!A1" ref="B6"/>
    <hyperlink display="LINK" location="AdvancedIndex!A1" ref="B7"/>
    <hyperlink display="LINK" location="'Array Formulas'!A1" ref="B8"/>
    <hyperlink display="LINK" location="INDIRECT!A1" ref="B9"/>
    <hyperlink display="LINK" location="'Random Data'!A1" ref="B10"/>
    <hyperlink display="LINK" location="SEQUENCE!A1" ref="B1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0.5"/>
    <col customWidth="1" min="2" max="2" width="9.13"/>
    <col customWidth="1" min="3" max="3" width="7.63"/>
    <col customWidth="1" min="4" max="4" width="7.0"/>
    <col customWidth="1" min="5" max="5" width="6.0"/>
    <col customWidth="1" min="6" max="6" width="7.0"/>
    <col customWidth="1" min="7" max="7" width="10.0"/>
    <col customWidth="1" min="8" max="8" width="4.63"/>
    <col customWidth="1" min="9" max="9" width="12.75"/>
    <col customWidth="1" min="19" max="19" width="15.75"/>
  </cols>
  <sheetData>
    <row r="1">
      <c r="A1" s="17" t="s">
        <v>14</v>
      </c>
      <c r="B1" s="18"/>
      <c r="C1" s="18"/>
      <c r="D1" s="18"/>
      <c r="E1" s="18"/>
      <c r="F1" s="18"/>
    </row>
    <row r="2">
      <c r="A2" s="19"/>
    </row>
    <row r="3">
      <c r="A3" s="19" t="s">
        <v>15</v>
      </c>
    </row>
    <row r="4">
      <c r="B4" s="20" t="s">
        <v>16</v>
      </c>
      <c r="C4" s="20" t="s">
        <v>17</v>
      </c>
      <c r="D4" s="20" t="s">
        <v>18</v>
      </c>
      <c r="E4" s="20" t="s">
        <v>19</v>
      </c>
      <c r="F4" s="20" t="s">
        <v>20</v>
      </c>
      <c r="G4" s="20" t="s">
        <v>21</v>
      </c>
      <c r="J4" s="21" t="s">
        <v>21</v>
      </c>
    </row>
    <row r="5">
      <c r="A5" s="22" t="s">
        <v>22</v>
      </c>
      <c r="B5" s="23">
        <v>9150.0</v>
      </c>
      <c r="C5" s="23">
        <v>8750.0</v>
      </c>
      <c r="D5" s="23">
        <v>6840.0</v>
      </c>
      <c r="E5" s="23">
        <v>6200.0</v>
      </c>
      <c r="F5" s="23">
        <v>4220.0</v>
      </c>
      <c r="G5" s="23">
        <v>6800.0</v>
      </c>
      <c r="I5" s="21" t="s">
        <v>23</v>
      </c>
      <c r="J5" s="24">
        <f t="array" ref="J5">index(B5:G9,match(I5,A5:A9,0),match(J4,B4:G4,0))</f>
        <v>3080</v>
      </c>
    </row>
    <row r="6">
      <c r="A6" s="22" t="s">
        <v>24</v>
      </c>
      <c r="B6" s="23">
        <v>10020.0</v>
      </c>
      <c r="C6" s="23">
        <v>6220.0</v>
      </c>
      <c r="D6" s="23">
        <v>9260.0</v>
      </c>
      <c r="E6" s="23">
        <v>9900.0</v>
      </c>
      <c r="F6" s="23">
        <v>4230.0</v>
      </c>
      <c r="G6" s="23">
        <v>16900.0</v>
      </c>
    </row>
    <row r="7">
      <c r="A7" s="22" t="s">
        <v>25</v>
      </c>
      <c r="B7" s="23">
        <v>17500.0</v>
      </c>
      <c r="C7" s="23">
        <v>15000.0</v>
      </c>
      <c r="D7" s="23">
        <v>15800.0</v>
      </c>
      <c r="E7" s="23">
        <v>8500.0</v>
      </c>
      <c r="F7" s="23">
        <v>4800.0</v>
      </c>
      <c r="G7" s="23">
        <v>16680.0</v>
      </c>
    </row>
    <row r="8">
      <c r="A8" s="22" t="s">
        <v>23</v>
      </c>
      <c r="B8" s="23">
        <v>6620.0</v>
      </c>
      <c r="C8" s="23">
        <v>6860.0</v>
      </c>
      <c r="D8" s="23">
        <v>6050.0</v>
      </c>
      <c r="E8" s="23">
        <v>6070.0</v>
      </c>
      <c r="F8" s="23">
        <v>6900.0</v>
      </c>
      <c r="G8" s="23">
        <v>3080.0</v>
      </c>
    </row>
    <row r="9">
      <c r="A9" s="22" t="s">
        <v>26</v>
      </c>
      <c r="B9" s="23">
        <v>550.0</v>
      </c>
      <c r="C9" s="23">
        <v>450.0</v>
      </c>
      <c r="D9" s="23">
        <v>420.0</v>
      </c>
      <c r="E9" s="23">
        <v>350.0</v>
      </c>
      <c r="F9" s="23">
        <v>610.0</v>
      </c>
      <c r="G9" s="23">
        <v>540.0</v>
      </c>
    </row>
    <row r="10">
      <c r="A10" s="25"/>
      <c r="B10" s="25"/>
      <c r="C10" s="25"/>
      <c r="D10" s="25"/>
      <c r="E10" s="25"/>
      <c r="F10" s="25"/>
      <c r="G10" s="25"/>
    </row>
    <row r="12" outlineLevel="1">
      <c r="A12" s="20" t="s">
        <v>16</v>
      </c>
      <c r="B12" s="20" t="s">
        <v>17</v>
      </c>
      <c r="C12" s="20" t="s">
        <v>18</v>
      </c>
      <c r="D12" s="20" t="s">
        <v>19</v>
      </c>
      <c r="E12" s="20" t="s">
        <v>20</v>
      </c>
      <c r="F12" s="20" t="s">
        <v>21</v>
      </c>
      <c r="G12" s="20" t="s">
        <v>27</v>
      </c>
      <c r="J12" s="21" t="s">
        <v>17</v>
      </c>
    </row>
    <row r="13" outlineLevel="1">
      <c r="A13" s="23">
        <v>9150.0</v>
      </c>
      <c r="B13" s="23">
        <v>8750.0</v>
      </c>
      <c r="C13" s="23">
        <v>6840.0</v>
      </c>
      <c r="D13" s="23">
        <v>6200.0</v>
      </c>
      <c r="E13" s="23">
        <v>4220.0</v>
      </c>
      <c r="F13" s="23">
        <v>6800.0</v>
      </c>
      <c r="G13" s="22" t="s">
        <v>22</v>
      </c>
      <c r="I13" s="21" t="s">
        <v>23</v>
      </c>
      <c r="J13" s="24">
        <f t="array" ref="J13">index(A13:F17,match(I13,G13:G17,0),match(J12,A12:F12,0))</f>
        <v>6860</v>
      </c>
    </row>
    <row r="14" outlineLevel="1">
      <c r="A14" s="23">
        <v>10020.0</v>
      </c>
      <c r="B14" s="23">
        <v>6220.0</v>
      </c>
      <c r="C14" s="23">
        <v>9260.0</v>
      </c>
      <c r="D14" s="23">
        <v>9900.0</v>
      </c>
      <c r="E14" s="23">
        <v>4230.0</v>
      </c>
      <c r="F14" s="23">
        <v>16900.0</v>
      </c>
      <c r="G14" s="22" t="s">
        <v>24</v>
      </c>
    </row>
    <row r="15" outlineLevel="1">
      <c r="A15" s="23">
        <v>17500.0</v>
      </c>
      <c r="B15" s="23">
        <v>15000.0</v>
      </c>
      <c r="C15" s="23">
        <v>15800.0</v>
      </c>
      <c r="D15" s="23">
        <v>8500.0</v>
      </c>
      <c r="E15" s="23">
        <v>4800.0</v>
      </c>
      <c r="F15" s="23">
        <v>16680.0</v>
      </c>
      <c r="G15" s="22" t="s">
        <v>25</v>
      </c>
    </row>
    <row r="16" outlineLevel="1">
      <c r="A16" s="23">
        <v>6620.0</v>
      </c>
      <c r="B16" s="23">
        <v>6860.0</v>
      </c>
      <c r="C16" s="23">
        <v>6050.0</v>
      </c>
      <c r="D16" s="23">
        <v>6070.0</v>
      </c>
      <c r="E16" s="23">
        <v>6900.0</v>
      </c>
      <c r="F16" s="23">
        <v>3080.0</v>
      </c>
      <c r="G16" s="22" t="s">
        <v>23</v>
      </c>
    </row>
    <row r="17" outlineLevel="1">
      <c r="A17" s="23">
        <v>550.0</v>
      </c>
      <c r="B17" s="23">
        <v>450.0</v>
      </c>
      <c r="C17" s="23">
        <v>420.0</v>
      </c>
      <c r="D17" s="23">
        <v>350.0</v>
      </c>
      <c r="E17" s="23">
        <v>610.0</v>
      </c>
      <c r="F17" s="23">
        <v>540.0</v>
      </c>
      <c r="G17" s="22" t="s">
        <v>26</v>
      </c>
    </row>
    <row r="18" outlineLevel="1"/>
    <row r="23">
      <c r="D23" s="25"/>
    </row>
    <row r="24">
      <c r="D24" s="25"/>
    </row>
    <row r="25">
      <c r="D25" s="25"/>
    </row>
    <row r="26">
      <c r="D26" s="25"/>
    </row>
    <row r="27">
      <c r="D27" s="25"/>
    </row>
    <row r="28">
      <c r="D28" s="25"/>
    </row>
    <row r="29">
      <c r="D29" s="25"/>
    </row>
    <row r="30">
      <c r="D30" s="25"/>
    </row>
    <row r="31">
      <c r="D31" s="25"/>
    </row>
    <row r="32">
      <c r="D32" s="25"/>
    </row>
    <row r="33">
      <c r="D33" s="25"/>
    </row>
    <row r="34">
      <c r="D34" s="25"/>
    </row>
    <row r="35">
      <c r="D35" s="25"/>
    </row>
    <row r="36">
      <c r="D36" s="25"/>
    </row>
    <row r="37">
      <c r="D37" s="25"/>
    </row>
    <row r="38">
      <c r="D38" s="25"/>
    </row>
  </sheetData>
  <dataValidations>
    <dataValidation type="list" allowBlank="1" showErrorMessage="1" sqref="J4">
      <formula1>IndexMatch!$B$4:$G$4</formula1>
    </dataValidation>
    <dataValidation type="list" allowBlank="1" showErrorMessage="1" sqref="I5">
      <formula1>IndexMatch!$A$5:$A$9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A84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7.63"/>
    <col customWidth="1" min="3" max="3" width="7.0"/>
    <col customWidth="1" min="4" max="5" width="6.0"/>
    <col customWidth="1" min="6" max="6" width="7.0"/>
    <col customWidth="1" min="7" max="7" width="10.0"/>
    <col customWidth="1" min="8" max="8" width="5.38"/>
    <col customWidth="1" min="11" max="11" width="2.5"/>
    <col customWidth="1" min="12" max="12" width="2.75"/>
    <col customWidth="1" min="13" max="13" width="7.5"/>
    <col customWidth="1" min="18" max="20" width="2.88"/>
    <col customWidth="1" min="22" max="22" width="15.75"/>
  </cols>
  <sheetData>
    <row r="1">
      <c r="A1" s="17" t="s">
        <v>28</v>
      </c>
      <c r="B1" s="18"/>
      <c r="C1" s="18"/>
      <c r="D1" s="18"/>
      <c r="E1" s="18"/>
      <c r="F1" s="18"/>
      <c r="L1" s="26" t="s">
        <v>29</v>
      </c>
    </row>
    <row r="2">
      <c r="A2" s="19" t="s">
        <v>30</v>
      </c>
      <c r="L2" s="27"/>
    </row>
    <row r="3">
      <c r="A3" s="19" t="s">
        <v>31</v>
      </c>
      <c r="L3" s="27"/>
    </row>
    <row r="4">
      <c r="A4" s="25"/>
      <c r="B4" s="25"/>
      <c r="C4" s="25"/>
      <c r="D4" s="25"/>
      <c r="E4" s="25"/>
      <c r="F4" s="25"/>
      <c r="G4" s="25"/>
      <c r="L4" s="27"/>
    </row>
    <row r="5">
      <c r="A5" s="25"/>
      <c r="B5" s="25"/>
      <c r="C5" s="25"/>
      <c r="D5" s="25"/>
      <c r="E5" s="25"/>
      <c r="F5" s="25"/>
      <c r="G5" s="25"/>
      <c r="L5" s="27"/>
      <c r="N5" s="20" t="s">
        <v>32</v>
      </c>
      <c r="O5" s="20" t="s">
        <v>33</v>
      </c>
      <c r="P5" s="20" t="s">
        <v>34</v>
      </c>
      <c r="Q5" s="28" t="s">
        <v>35</v>
      </c>
      <c r="R5" s="29"/>
      <c r="S5" s="29"/>
      <c r="T5" s="29"/>
      <c r="U5" s="20" t="s">
        <v>35</v>
      </c>
      <c r="V5" s="20" t="s">
        <v>36</v>
      </c>
      <c r="W5" s="20" t="s">
        <v>37</v>
      </c>
    </row>
    <row r="6">
      <c r="A6" s="20" t="s">
        <v>16</v>
      </c>
      <c r="B6" s="20" t="s">
        <v>17</v>
      </c>
      <c r="C6" s="20" t="s">
        <v>18</v>
      </c>
      <c r="D6" s="20" t="s">
        <v>19</v>
      </c>
      <c r="E6" s="20" t="s">
        <v>20</v>
      </c>
      <c r="F6" s="20" t="s">
        <v>21</v>
      </c>
      <c r="G6" s="20" t="s">
        <v>38</v>
      </c>
      <c r="J6" s="21" t="s">
        <v>17</v>
      </c>
      <c r="L6" s="27"/>
      <c r="N6" s="30" t="s">
        <v>39</v>
      </c>
      <c r="O6" s="31">
        <v>43845.0</v>
      </c>
      <c r="P6" s="32">
        <v>25709.0</v>
      </c>
      <c r="Q6" s="33">
        <f t="shared" ref="Q6:Q37" si="1">ifna(index($U$6:$U$19,match(N6,$W$6:$W$19,0)),"")</f>
        <v>0.1</v>
      </c>
      <c r="R6" s="34"/>
      <c r="S6" s="34" t="str">
        <f>ifna(HLOOKUP(N6,AdvancedIndex!$X$5:$AA$7,3,false),"")</f>
        <v/>
      </c>
      <c r="T6" s="29"/>
      <c r="U6" s="35">
        <v>0.3</v>
      </c>
      <c r="V6" s="30" t="s">
        <v>40</v>
      </c>
      <c r="W6" s="30" t="s">
        <v>41</v>
      </c>
    </row>
    <row r="7">
      <c r="A7" s="23">
        <v>9150.0</v>
      </c>
      <c r="B7" s="23">
        <v>8750.0</v>
      </c>
      <c r="C7" s="23">
        <v>6840.0</v>
      </c>
      <c r="D7" s="23">
        <v>6200.0</v>
      </c>
      <c r="E7" s="23">
        <v>4220.0</v>
      </c>
      <c r="F7" s="23">
        <v>6800.0</v>
      </c>
      <c r="G7" s="22" t="s">
        <v>22</v>
      </c>
      <c r="I7" s="21" t="s">
        <v>25</v>
      </c>
      <c r="J7" s="24">
        <f t="shared" ref="J7:J9" si="2">index($A$7:$F$11,match(I7,$G$7:$G$11,0),match($J$6,$A$6:$F$6,0))</f>
        <v>15000</v>
      </c>
      <c r="L7" s="27"/>
      <c r="N7" s="36" t="s">
        <v>42</v>
      </c>
      <c r="O7" s="37">
        <v>43132.0</v>
      </c>
      <c r="P7" s="38">
        <v>26500.0</v>
      </c>
      <c r="Q7" s="33">
        <f t="shared" si="1"/>
        <v>0.25</v>
      </c>
      <c r="R7" s="34"/>
      <c r="S7" s="34" t="str">
        <f>ifna(HLOOKUP(N7,AdvancedIndex!$X$5:$AA$7,3,false),"")</f>
        <v/>
      </c>
      <c r="T7" s="29"/>
      <c r="U7" s="39">
        <v>0.3</v>
      </c>
      <c r="V7" s="40"/>
      <c r="W7" s="36" t="s">
        <v>43</v>
      </c>
    </row>
    <row r="8">
      <c r="A8" s="23">
        <v>10020.0</v>
      </c>
      <c r="B8" s="23">
        <v>6220.0</v>
      </c>
      <c r="C8" s="23">
        <v>9260.0</v>
      </c>
      <c r="D8" s="23">
        <v>9900.0</v>
      </c>
      <c r="E8" s="23">
        <v>4230.0</v>
      </c>
      <c r="F8" s="23">
        <v>16900.0</v>
      </c>
      <c r="G8" s="22" t="s">
        <v>24</v>
      </c>
      <c r="I8" s="21" t="s">
        <v>23</v>
      </c>
      <c r="J8" s="24">
        <f t="shared" si="2"/>
        <v>6860</v>
      </c>
      <c r="L8" s="27"/>
      <c r="N8" s="36" t="s">
        <v>44</v>
      </c>
      <c r="O8" s="37">
        <v>43214.0</v>
      </c>
      <c r="P8" s="38">
        <v>24200.0</v>
      </c>
      <c r="Q8" s="33" t="str">
        <f t="shared" si="1"/>
        <v/>
      </c>
      <c r="R8" s="34"/>
      <c r="S8" s="29" t="str">
        <f>ifna(HLOOKUP(N8,AdvancedIndex!$X$5:$AA$7,3,false),"")</f>
        <v/>
      </c>
      <c r="T8" s="29"/>
      <c r="U8" s="39">
        <v>0.3</v>
      </c>
      <c r="V8" s="40"/>
      <c r="W8" s="36" t="s">
        <v>45</v>
      </c>
    </row>
    <row r="9">
      <c r="A9" s="23">
        <v>17500.0</v>
      </c>
      <c r="B9" s="23">
        <v>15000.0</v>
      </c>
      <c r="C9" s="23">
        <v>15800.0</v>
      </c>
      <c r="D9" s="23">
        <v>8500.0</v>
      </c>
      <c r="E9" s="23">
        <v>4800.0</v>
      </c>
      <c r="F9" s="23">
        <v>16680.0</v>
      </c>
      <c r="G9" s="22" t="s">
        <v>25</v>
      </c>
      <c r="I9" s="21" t="s">
        <v>22</v>
      </c>
      <c r="J9" s="24">
        <f t="shared" si="2"/>
        <v>8750</v>
      </c>
      <c r="L9" s="27"/>
      <c r="N9" s="36" t="s">
        <v>46</v>
      </c>
      <c r="O9" s="37">
        <v>43068.0</v>
      </c>
      <c r="P9" s="38">
        <v>30600.0</v>
      </c>
      <c r="Q9" s="33" t="str">
        <f t="shared" si="1"/>
        <v/>
      </c>
      <c r="R9" s="34"/>
      <c r="S9" s="29" t="str">
        <f>ifna(HLOOKUP(N9,AdvancedIndex!$X$5:$AA$7,3,false),"")</f>
        <v/>
      </c>
      <c r="T9" s="29"/>
      <c r="U9" s="39">
        <v>0.25</v>
      </c>
      <c r="V9" s="36" t="s">
        <v>47</v>
      </c>
      <c r="W9" s="36" t="s">
        <v>42</v>
      </c>
    </row>
    <row r="10">
      <c r="A10" s="23">
        <v>6620.0</v>
      </c>
      <c r="B10" s="23">
        <v>6860.0</v>
      </c>
      <c r="C10" s="23">
        <v>6050.0</v>
      </c>
      <c r="D10" s="23">
        <v>6070.0</v>
      </c>
      <c r="E10" s="23">
        <v>6900.0</v>
      </c>
      <c r="F10" s="23">
        <v>3080.0</v>
      </c>
      <c r="G10" s="22" t="s">
        <v>23</v>
      </c>
      <c r="L10" s="27"/>
      <c r="N10" s="36" t="s">
        <v>48</v>
      </c>
      <c r="O10" s="37">
        <v>42808.0</v>
      </c>
      <c r="P10" s="38">
        <v>31900.0</v>
      </c>
      <c r="Q10" s="33">
        <f t="shared" si="1"/>
        <v>0.25</v>
      </c>
      <c r="R10" s="34"/>
      <c r="S10" s="34" t="str">
        <f>ifna(HLOOKUP(N10,AdvancedIndex!$X$5:$AA$7,3,false),"")</f>
        <v/>
      </c>
      <c r="T10" s="29"/>
      <c r="U10" s="39">
        <v>0.25</v>
      </c>
      <c r="V10" s="40"/>
      <c r="W10" s="36" t="s">
        <v>48</v>
      </c>
    </row>
    <row r="11">
      <c r="A11" s="23">
        <v>550.0</v>
      </c>
      <c r="B11" s="23">
        <v>450.0</v>
      </c>
      <c r="C11" s="23">
        <v>420.0</v>
      </c>
      <c r="D11" s="23">
        <v>350.0</v>
      </c>
      <c r="E11" s="23">
        <v>610.0</v>
      </c>
      <c r="F11" s="23">
        <v>540.0</v>
      </c>
      <c r="G11" s="22" t="s">
        <v>26</v>
      </c>
      <c r="L11" s="27"/>
      <c r="N11" s="36" t="s">
        <v>49</v>
      </c>
      <c r="O11" s="37">
        <v>42604.0</v>
      </c>
      <c r="P11" s="38">
        <v>32500.0</v>
      </c>
      <c r="Q11" s="33" t="str">
        <f t="shared" si="1"/>
        <v/>
      </c>
      <c r="R11" s="34"/>
      <c r="S11" s="29" t="str">
        <f>ifna(HLOOKUP(N11,AdvancedIndex!$X$5:$AA$7,3,false),"")</f>
        <v/>
      </c>
      <c r="T11" s="29"/>
      <c r="U11" s="39">
        <v>0.25</v>
      </c>
      <c r="V11" s="40"/>
      <c r="W11" s="36" t="s">
        <v>50</v>
      </c>
    </row>
    <row r="12">
      <c r="D12" s="25"/>
      <c r="L12" s="27"/>
      <c r="N12" s="36" t="s">
        <v>51</v>
      </c>
      <c r="O12" s="37">
        <v>42746.0</v>
      </c>
      <c r="P12" s="38">
        <v>32800.0</v>
      </c>
      <c r="Q12" s="33" t="str">
        <f t="shared" si="1"/>
        <v/>
      </c>
      <c r="R12" s="34"/>
      <c r="S12" s="29" t="str">
        <f>ifna(HLOOKUP(N12,AdvancedIndex!$X$5:$AA$7,3,false),"")</f>
        <v/>
      </c>
      <c r="T12" s="29"/>
      <c r="U12" s="39">
        <v>0.2</v>
      </c>
      <c r="V12" s="40"/>
      <c r="W12" s="36" t="s">
        <v>52</v>
      </c>
    </row>
    <row r="13">
      <c r="D13" s="25"/>
      <c r="L13" s="27"/>
      <c r="N13" s="36" t="s">
        <v>53</v>
      </c>
      <c r="O13" s="37">
        <v>42724.0</v>
      </c>
      <c r="P13" s="38">
        <v>25900.0</v>
      </c>
      <c r="Q13" s="33" t="str">
        <f t="shared" si="1"/>
        <v/>
      </c>
      <c r="R13" s="34"/>
      <c r="S13" s="29" t="str">
        <f>ifna(HLOOKUP(N13,AdvancedIndex!$X$5:$AA$7,3,false),"")</f>
        <v/>
      </c>
      <c r="T13" s="29"/>
      <c r="U13" s="39">
        <v>0.2</v>
      </c>
      <c r="V13" s="40"/>
      <c r="W13" s="36" t="s">
        <v>54</v>
      </c>
    </row>
    <row r="14">
      <c r="D14" s="25"/>
      <c r="L14" s="27"/>
      <c r="N14" s="36" t="s">
        <v>41</v>
      </c>
      <c r="O14" s="37">
        <v>42555.0</v>
      </c>
      <c r="P14" s="38">
        <v>49500.0</v>
      </c>
      <c r="Q14" s="33">
        <f t="shared" si="1"/>
        <v>0.3</v>
      </c>
      <c r="R14" s="34"/>
      <c r="S14" s="34" t="str">
        <f>ifna(HLOOKUP(N14,AdvancedIndex!$X$5:$AA$7,3,false),"")</f>
        <v/>
      </c>
      <c r="T14" s="29"/>
      <c r="U14" s="39">
        <v>0.2</v>
      </c>
      <c r="V14" s="40"/>
      <c r="W14" s="36" t="s">
        <v>55</v>
      </c>
    </row>
    <row r="15">
      <c r="D15" s="25"/>
      <c r="L15" s="27"/>
      <c r="N15" s="36" t="s">
        <v>52</v>
      </c>
      <c r="O15" s="37">
        <v>42312.0</v>
      </c>
      <c r="P15" s="38">
        <v>32500.0</v>
      </c>
      <c r="Q15" s="33">
        <f t="shared" si="1"/>
        <v>0.2</v>
      </c>
      <c r="R15" s="34"/>
      <c r="S15" s="34" t="str">
        <f>ifna(HLOOKUP(N15,AdvancedIndex!$X$5:$AA$7,3,false),"")</f>
        <v/>
      </c>
      <c r="T15" s="29"/>
      <c r="U15" s="39">
        <v>0.2</v>
      </c>
      <c r="V15" s="40"/>
      <c r="W15" s="36" t="s">
        <v>56</v>
      </c>
    </row>
    <row r="16">
      <c r="L16" s="27"/>
      <c r="N16" s="36" t="s">
        <v>57</v>
      </c>
      <c r="O16" s="37">
        <v>42401.0</v>
      </c>
      <c r="P16" s="38">
        <v>34808.0</v>
      </c>
      <c r="Q16" s="33" t="str">
        <f t="shared" si="1"/>
        <v/>
      </c>
      <c r="R16" s="34"/>
      <c r="S16" s="29" t="str">
        <f>ifna(HLOOKUP(N16,AdvancedIndex!$X$5:$AA$7,3,false),"")</f>
        <v/>
      </c>
      <c r="T16" s="29"/>
      <c r="U16" s="39">
        <v>0.15</v>
      </c>
      <c r="V16" s="40"/>
      <c r="W16" s="36" t="s">
        <v>58</v>
      </c>
    </row>
    <row r="17">
      <c r="L17" s="27"/>
      <c r="N17" s="36" t="s">
        <v>59</v>
      </c>
      <c r="O17" s="37">
        <v>42247.0</v>
      </c>
      <c r="P17" s="38">
        <v>36800.0</v>
      </c>
      <c r="Q17" s="33" t="str">
        <f t="shared" si="1"/>
        <v/>
      </c>
      <c r="R17" s="34"/>
      <c r="S17" s="29" t="str">
        <f>ifna(HLOOKUP(N17,AdvancedIndex!$X$5:$AA$7,3,false),"")</f>
        <v/>
      </c>
      <c r="T17" s="29"/>
      <c r="U17" s="39">
        <v>0.1</v>
      </c>
      <c r="V17" s="40"/>
      <c r="W17" s="36" t="s">
        <v>39</v>
      </c>
    </row>
    <row r="18">
      <c r="L18" s="27"/>
      <c r="N18" s="36" t="s">
        <v>60</v>
      </c>
      <c r="O18" s="37">
        <v>43500.0</v>
      </c>
      <c r="P18" s="38">
        <v>32100.0</v>
      </c>
      <c r="Q18" s="33" t="str">
        <f t="shared" si="1"/>
        <v/>
      </c>
      <c r="R18" s="34"/>
      <c r="S18" s="29" t="str">
        <f>ifna(HLOOKUP(N18,AdvancedIndex!$X$5:$AA$7,3,false),"")</f>
        <v/>
      </c>
      <c r="T18" s="29"/>
      <c r="U18" s="39">
        <v>0.1</v>
      </c>
      <c r="V18" s="36" t="s">
        <v>61</v>
      </c>
      <c r="W18" s="36" t="s">
        <v>62</v>
      </c>
    </row>
    <row r="19">
      <c r="L19" s="27"/>
      <c r="N19" s="36" t="s">
        <v>63</v>
      </c>
      <c r="O19" s="37">
        <v>42541.0</v>
      </c>
      <c r="P19" s="38">
        <v>39600.0</v>
      </c>
      <c r="Q19" s="33" t="str">
        <f t="shared" si="1"/>
        <v/>
      </c>
      <c r="R19" s="34"/>
      <c r="S19" s="29" t="str">
        <f>ifna(HLOOKUP(N19,AdvancedIndex!$X$5:$AA$7,3,false),"")</f>
        <v/>
      </c>
      <c r="T19" s="29"/>
      <c r="U19" s="39">
        <v>0.1</v>
      </c>
      <c r="V19" s="36" t="s">
        <v>64</v>
      </c>
      <c r="W19" s="36" t="s">
        <v>65</v>
      </c>
    </row>
    <row r="20">
      <c r="N20" s="36" t="s">
        <v>66</v>
      </c>
      <c r="O20" s="37">
        <v>42649.0</v>
      </c>
      <c r="P20" s="38">
        <v>38500.0</v>
      </c>
      <c r="Q20" s="33" t="str">
        <f t="shared" si="1"/>
        <v/>
      </c>
      <c r="R20" s="34"/>
      <c r="S20" s="29" t="str">
        <f>ifna(HLOOKUP(N20,AdvancedIndex!$X$5:$AA$7,3,false),"")</f>
        <v/>
      </c>
      <c r="T20" s="29"/>
      <c r="U20" s="29"/>
      <c r="V20" s="29"/>
      <c r="W20" s="29"/>
      <c r="X20" s="29"/>
      <c r="Y20" s="41"/>
    </row>
    <row r="21">
      <c r="N21" s="36" t="s">
        <v>50</v>
      </c>
      <c r="O21" s="37">
        <v>42877.0</v>
      </c>
      <c r="P21" s="38">
        <v>39400.0</v>
      </c>
      <c r="Q21" s="33">
        <f t="shared" si="1"/>
        <v>0.25</v>
      </c>
      <c r="R21" s="34"/>
      <c r="S21" s="34" t="str">
        <f>ifna(HLOOKUP(N21,AdvancedIndex!$X$5:$AA$7,3,false),"")</f>
        <v/>
      </c>
      <c r="T21" s="29"/>
      <c r="U21" s="29"/>
      <c r="V21" s="29"/>
      <c r="W21" s="29"/>
      <c r="X21" s="29"/>
      <c r="Y21" s="29"/>
    </row>
    <row r="22">
      <c r="N22" s="36" t="s">
        <v>67</v>
      </c>
      <c r="O22" s="37">
        <v>41841.0</v>
      </c>
      <c r="P22" s="38">
        <v>42500.0</v>
      </c>
      <c r="Q22" s="33" t="str">
        <f t="shared" si="1"/>
        <v/>
      </c>
      <c r="R22" s="34"/>
      <c r="S22" s="29" t="str">
        <f>ifna(HLOOKUP(N22,AdvancedIndex!$X$5:$AA$7,3,false),"")</f>
        <v/>
      </c>
      <c r="T22" s="29"/>
      <c r="U22" s="29"/>
      <c r="V22" s="29"/>
      <c r="W22" s="29"/>
      <c r="X22" s="29"/>
      <c r="Y22" s="29"/>
    </row>
    <row r="23">
      <c r="N23" s="36" t="s">
        <v>68</v>
      </c>
      <c r="O23" s="37">
        <v>42009.0</v>
      </c>
      <c r="P23" s="38">
        <v>43668.0</v>
      </c>
      <c r="Q23" s="33" t="str">
        <f t="shared" si="1"/>
        <v/>
      </c>
      <c r="R23" s="34"/>
      <c r="S23" s="29" t="str">
        <f>ifna(HLOOKUP(N23,AdvancedIndex!$X$5:$AA$7,3,false),"")</f>
        <v/>
      </c>
      <c r="T23" s="29"/>
      <c r="U23" s="29"/>
      <c r="V23" s="29"/>
      <c r="W23" s="29"/>
      <c r="X23" s="29"/>
      <c r="Y23" s="29"/>
    </row>
    <row r="24">
      <c r="N24" s="36" t="s">
        <v>69</v>
      </c>
      <c r="O24" s="37">
        <v>41582.0</v>
      </c>
      <c r="P24" s="38">
        <v>48500.0</v>
      </c>
      <c r="Q24" s="33" t="str">
        <f t="shared" si="1"/>
        <v/>
      </c>
      <c r="R24" s="34"/>
      <c r="S24" s="29" t="str">
        <f>ifna(HLOOKUP(N24,AdvancedIndex!$X$5:$AA$7,3,false),"")</f>
        <v/>
      </c>
      <c r="T24" s="29"/>
      <c r="U24" s="29"/>
      <c r="V24" s="29"/>
      <c r="W24" s="29"/>
      <c r="X24" s="29"/>
      <c r="Y24" s="29"/>
    </row>
    <row r="25">
      <c r="N25" s="36" t="s">
        <v>70</v>
      </c>
      <c r="O25" s="37">
        <v>41610.0</v>
      </c>
      <c r="P25" s="38">
        <v>49627.0</v>
      </c>
      <c r="Q25" s="33" t="str">
        <f t="shared" si="1"/>
        <v/>
      </c>
      <c r="R25" s="34"/>
      <c r="S25" s="29" t="str">
        <f>ifna(HLOOKUP(N25,AdvancedIndex!$X$5:$AA$7,3,false),"")</f>
        <v/>
      </c>
      <c r="T25" s="29"/>
      <c r="U25" s="29"/>
      <c r="V25" s="29"/>
      <c r="W25" s="29"/>
      <c r="X25" s="29"/>
      <c r="Y25" s="29"/>
    </row>
    <row r="26">
      <c r="N26" s="36" t="s">
        <v>71</v>
      </c>
      <c r="O26" s="37">
        <v>41470.0</v>
      </c>
      <c r="P26" s="38">
        <v>41200.0</v>
      </c>
      <c r="Q26" s="33" t="str">
        <f t="shared" si="1"/>
        <v/>
      </c>
      <c r="R26" s="34"/>
      <c r="S26" s="29" t="str">
        <f>ifna(HLOOKUP(N26,AdvancedIndex!$X$5:$AA$7,3,false),"")</f>
        <v/>
      </c>
      <c r="T26" s="29"/>
      <c r="U26" s="29"/>
      <c r="V26" s="29"/>
      <c r="W26" s="29"/>
      <c r="X26" s="29"/>
      <c r="Y26" s="29"/>
    </row>
    <row r="27">
      <c r="N27" s="36" t="s">
        <v>54</v>
      </c>
      <c r="O27" s="37">
        <v>41635.0</v>
      </c>
      <c r="P27" s="38">
        <v>52100.0</v>
      </c>
      <c r="Q27" s="33">
        <f t="shared" si="1"/>
        <v>0.2</v>
      </c>
      <c r="R27" s="34"/>
      <c r="S27" s="34" t="str">
        <f>ifna(HLOOKUP(N27,AdvancedIndex!$X$5:$AA$7,3,false),"")</f>
        <v/>
      </c>
      <c r="T27" s="29"/>
      <c r="U27" s="29"/>
      <c r="V27" s="29"/>
      <c r="W27" s="29"/>
      <c r="X27" s="29"/>
      <c r="Y27" s="29"/>
    </row>
    <row r="28">
      <c r="N28" s="36" t="s">
        <v>72</v>
      </c>
      <c r="O28" s="37">
        <v>42009.0</v>
      </c>
      <c r="P28" s="38">
        <v>88000.0</v>
      </c>
      <c r="Q28" s="33" t="str">
        <f t="shared" si="1"/>
        <v/>
      </c>
      <c r="R28" s="34"/>
      <c r="S28" s="29" t="str">
        <f>ifna(HLOOKUP(N28,AdvancedIndex!$X$5:$AA$7,3,false),"")</f>
        <v/>
      </c>
      <c r="T28" s="29"/>
      <c r="U28" s="29"/>
      <c r="V28" s="29"/>
      <c r="W28" s="29"/>
      <c r="X28" s="29"/>
      <c r="Y28" s="29"/>
    </row>
    <row r="29">
      <c r="N29" s="36" t="s">
        <v>55</v>
      </c>
      <c r="O29" s="37">
        <v>37438.0</v>
      </c>
      <c r="P29" s="38">
        <v>116000.0</v>
      </c>
      <c r="Q29" s="33">
        <f t="shared" si="1"/>
        <v>0.2</v>
      </c>
      <c r="R29" s="34"/>
      <c r="S29" s="34" t="str">
        <f>ifna(HLOOKUP(N29,AdvancedIndex!$X$5:$AA$7,3,false),"")</f>
        <v/>
      </c>
      <c r="T29" s="29"/>
      <c r="U29" s="29"/>
      <c r="V29" s="29"/>
      <c r="W29" s="29"/>
      <c r="X29" s="29"/>
      <c r="Y29" s="29"/>
    </row>
    <row r="30">
      <c r="N30" s="36" t="s">
        <v>73</v>
      </c>
      <c r="O30" s="37">
        <v>40301.0</v>
      </c>
      <c r="P30" s="38">
        <v>65432.0</v>
      </c>
      <c r="Q30" s="33" t="str">
        <f t="shared" si="1"/>
        <v/>
      </c>
      <c r="R30" s="34"/>
      <c r="S30" s="29" t="str">
        <f>ifna(HLOOKUP(N30,AdvancedIndex!$X$5:$AA$7,3,false),"")</f>
        <v/>
      </c>
      <c r="T30" s="29"/>
      <c r="U30" s="29"/>
      <c r="V30" s="29"/>
      <c r="W30" s="29"/>
      <c r="X30" s="29"/>
      <c r="Y30" s="29"/>
    </row>
    <row r="31">
      <c r="N31" s="36" t="s">
        <v>74</v>
      </c>
      <c r="O31" s="37">
        <v>41422.0</v>
      </c>
      <c r="P31" s="38">
        <v>65200.0</v>
      </c>
      <c r="Q31" s="33" t="str">
        <f t="shared" si="1"/>
        <v/>
      </c>
      <c r="R31" s="34"/>
      <c r="S31" s="29" t="str">
        <f>ifna(HLOOKUP(N31,AdvancedIndex!$X$5:$AA$7,3,false),"")</f>
        <v/>
      </c>
      <c r="T31" s="29"/>
      <c r="U31" s="29"/>
      <c r="V31" s="29"/>
      <c r="W31" s="29"/>
      <c r="X31" s="29"/>
      <c r="Y31" s="29"/>
    </row>
    <row r="32">
      <c r="N32" s="36" t="s">
        <v>56</v>
      </c>
      <c r="O32" s="37">
        <v>42614.0</v>
      </c>
      <c r="P32" s="38">
        <v>63500.0</v>
      </c>
      <c r="Q32" s="33">
        <f t="shared" si="1"/>
        <v>0.2</v>
      </c>
      <c r="R32" s="34"/>
      <c r="S32" s="34" t="str">
        <f>ifna(HLOOKUP(N32,AdvancedIndex!$X$5:$AA$7,3,false),"")</f>
        <v/>
      </c>
      <c r="T32" s="29"/>
      <c r="U32" s="29"/>
      <c r="V32" s="29"/>
      <c r="W32" s="29"/>
      <c r="X32" s="29"/>
      <c r="Y32" s="29"/>
    </row>
    <row r="33">
      <c r="N33" s="36" t="s">
        <v>62</v>
      </c>
      <c r="O33" s="37">
        <v>39694.0</v>
      </c>
      <c r="P33" s="38">
        <v>70270.0</v>
      </c>
      <c r="Q33" s="33">
        <f t="shared" si="1"/>
        <v>0.1</v>
      </c>
      <c r="R33" s="34"/>
      <c r="S33" s="34" t="str">
        <f>ifna(HLOOKUP(N33,AdvancedIndex!$X$5:$AA$7,3,false),"")</f>
        <v/>
      </c>
      <c r="T33" s="29"/>
      <c r="U33" s="29"/>
      <c r="V33" s="29"/>
      <c r="W33" s="29"/>
      <c r="X33" s="29"/>
      <c r="Y33" s="29"/>
    </row>
    <row r="34">
      <c r="N34" s="36" t="s">
        <v>43</v>
      </c>
      <c r="O34" s="37">
        <v>42555.0</v>
      </c>
      <c r="P34" s="38">
        <v>59600.0</v>
      </c>
      <c r="Q34" s="33">
        <f t="shared" si="1"/>
        <v>0.3</v>
      </c>
      <c r="R34" s="34"/>
      <c r="S34" s="34" t="str">
        <f>ifna(HLOOKUP(N34,AdvancedIndex!$X$5:$AA$7,3,false),"")</f>
        <v/>
      </c>
      <c r="T34" s="29"/>
      <c r="U34" s="29"/>
      <c r="V34" s="29"/>
      <c r="W34" s="29"/>
      <c r="X34" s="29"/>
      <c r="Y34" s="29"/>
    </row>
    <row r="35">
      <c r="N35" s="36" t="s">
        <v>45</v>
      </c>
      <c r="O35" s="37">
        <v>42065.0</v>
      </c>
      <c r="P35" s="38">
        <v>115000.0</v>
      </c>
      <c r="Q35" s="33">
        <f t="shared" si="1"/>
        <v>0.3</v>
      </c>
      <c r="R35" s="34"/>
      <c r="S35" s="34" t="str">
        <f>ifna(HLOOKUP(N35,AdvancedIndex!$X$5:$AA$7,3,false),"")</f>
        <v/>
      </c>
      <c r="T35" s="29"/>
      <c r="U35" s="29"/>
      <c r="V35" s="29"/>
      <c r="W35" s="29"/>
      <c r="X35" s="29"/>
      <c r="Y35" s="29"/>
    </row>
    <row r="36">
      <c r="N36" s="36" t="s">
        <v>65</v>
      </c>
      <c r="O36" s="37">
        <v>40819.0</v>
      </c>
      <c r="P36" s="38">
        <v>125600.0</v>
      </c>
      <c r="Q36" s="33">
        <f t="shared" si="1"/>
        <v>0.1</v>
      </c>
      <c r="R36" s="34"/>
      <c r="S36" s="34" t="str">
        <f>ifna(HLOOKUP(N36,AdvancedIndex!$X$5:$AA$7,3,false),"")</f>
        <v/>
      </c>
      <c r="T36" s="29"/>
      <c r="U36" s="29"/>
      <c r="V36" s="29"/>
      <c r="W36" s="29"/>
      <c r="X36" s="29"/>
      <c r="Y36" s="29"/>
    </row>
    <row r="37">
      <c r="N37" s="36" t="s">
        <v>58</v>
      </c>
      <c r="O37" s="37">
        <v>42675.0</v>
      </c>
      <c r="P37" s="38">
        <v>141200.0</v>
      </c>
      <c r="Q37" s="33">
        <f t="shared" si="1"/>
        <v>0.15</v>
      </c>
      <c r="R37" s="34"/>
      <c r="S37" s="34" t="str">
        <f>ifna(HLOOKUP(N37,AdvancedIndex!$X$5:$AA$7,3,false),"")</f>
        <v/>
      </c>
      <c r="T37" s="29"/>
      <c r="U37" s="29"/>
      <c r="V37" s="29"/>
      <c r="W37" s="29"/>
      <c r="X37" s="29"/>
      <c r="Y37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25"/>
    <col customWidth="1" min="2" max="2" width="8.63"/>
    <col customWidth="1" min="3" max="3" width="7.38"/>
    <col customWidth="1" min="4" max="4" width="9.88"/>
    <col customWidth="1" min="5" max="5" width="10.75"/>
    <col customWidth="1" min="6" max="6" width="8.63"/>
    <col customWidth="1" min="7" max="7" width="7.38"/>
    <col customWidth="1" min="8" max="8" width="5.75"/>
    <col customWidth="1" min="9" max="9" width="9.63"/>
    <col customWidth="1" min="11" max="11" width="15.75"/>
    <col customWidth="1" min="12" max="12" width="14.75"/>
    <col customWidth="1" min="14" max="14" width="12.63"/>
  </cols>
  <sheetData>
    <row r="1">
      <c r="A1" s="17" t="s">
        <v>75</v>
      </c>
      <c r="B1" s="18"/>
      <c r="C1" s="18"/>
      <c r="D1" s="18"/>
      <c r="E1" s="18"/>
      <c r="F1" s="18"/>
    </row>
    <row r="3">
      <c r="A3" s="19"/>
      <c r="B3" s="42" t="str">
        <f t="shared" ref="B3:G3" si="1">B4&amp;B5</f>
        <v>JanuarySales</v>
      </c>
      <c r="C3" s="42" t="str">
        <f t="shared" si="1"/>
        <v>JanuaryQuantity</v>
      </c>
      <c r="D3" s="42" t="str">
        <f t="shared" si="1"/>
        <v>FebruarySales</v>
      </c>
      <c r="E3" s="42" t="str">
        <f t="shared" si="1"/>
        <v>FebruaryQuantity</v>
      </c>
      <c r="F3" s="42" t="str">
        <f t="shared" si="1"/>
        <v>MarchSales</v>
      </c>
      <c r="G3" s="42" t="str">
        <f t="shared" si="1"/>
        <v>MarchQuantity</v>
      </c>
    </row>
    <row r="4">
      <c r="B4" s="7" t="s">
        <v>16</v>
      </c>
      <c r="C4" s="43" t="s">
        <v>16</v>
      </c>
      <c r="D4" s="7" t="s">
        <v>17</v>
      </c>
      <c r="E4" s="43" t="s">
        <v>17</v>
      </c>
      <c r="F4" s="7" t="s">
        <v>18</v>
      </c>
      <c r="G4" s="7" t="s">
        <v>18</v>
      </c>
    </row>
    <row r="5">
      <c r="B5" s="20" t="s">
        <v>76</v>
      </c>
      <c r="C5" s="44" t="s">
        <v>77</v>
      </c>
      <c r="D5" s="20" t="s">
        <v>76</v>
      </c>
      <c r="E5" s="44" t="s">
        <v>77</v>
      </c>
      <c r="F5" s="20" t="s">
        <v>76</v>
      </c>
      <c r="G5" s="20" t="s">
        <v>77</v>
      </c>
    </row>
    <row r="6">
      <c r="A6" s="22" t="s">
        <v>22</v>
      </c>
      <c r="B6" s="23">
        <v>9150.0</v>
      </c>
      <c r="C6" s="45">
        <v>282.0</v>
      </c>
      <c r="D6" s="23">
        <v>8750.0</v>
      </c>
      <c r="E6" s="45">
        <v>270.0</v>
      </c>
      <c r="F6" s="23">
        <v>6840.0</v>
      </c>
      <c r="G6" s="46">
        <v>211.0</v>
      </c>
      <c r="J6" s="47" t="s">
        <v>17</v>
      </c>
    </row>
    <row r="7">
      <c r="A7" s="48" t="s">
        <v>24</v>
      </c>
      <c r="B7" s="49">
        <v>10020.0</v>
      </c>
      <c r="C7" s="50">
        <v>142.0</v>
      </c>
      <c r="D7" s="49">
        <v>6220.0</v>
      </c>
      <c r="E7" s="50">
        <v>88.0</v>
      </c>
      <c r="F7" s="49">
        <v>9260.0</v>
      </c>
      <c r="G7" s="51">
        <v>131.0</v>
      </c>
      <c r="J7" s="47" t="s">
        <v>25</v>
      </c>
    </row>
    <row r="8">
      <c r="A8" s="48" t="s">
        <v>25</v>
      </c>
      <c r="B8" s="49">
        <v>17500.0</v>
      </c>
      <c r="C8" s="50">
        <v>1458.0</v>
      </c>
      <c r="D8" s="49">
        <v>15000.0</v>
      </c>
      <c r="E8" s="50">
        <v>1250.0</v>
      </c>
      <c r="F8" s="49">
        <v>15800.0</v>
      </c>
      <c r="G8" s="51">
        <v>1317.0</v>
      </c>
      <c r="I8" s="47" t="s">
        <v>76</v>
      </c>
      <c r="J8" s="24">
        <f t="array" ref="J8">index(B6:G10,match(J7,A6:A10,0),match(J6&amp;I8,B4:G4&amp;B5:G5,0))</f>
        <v>15000</v>
      </c>
    </row>
    <row r="9">
      <c r="A9" s="48" t="s">
        <v>23</v>
      </c>
      <c r="B9" s="49">
        <v>6620.0</v>
      </c>
      <c r="C9" s="50">
        <v>344.0</v>
      </c>
      <c r="D9" s="49">
        <v>6860.0</v>
      </c>
      <c r="E9" s="50">
        <v>356.0</v>
      </c>
      <c r="F9" s="49">
        <v>6050.0</v>
      </c>
      <c r="G9" s="51">
        <v>314.0</v>
      </c>
    </row>
    <row r="10">
      <c r="A10" s="48" t="s">
        <v>26</v>
      </c>
      <c r="B10" s="49">
        <v>550.0</v>
      </c>
      <c r="C10" s="50">
        <v>92.0</v>
      </c>
      <c r="D10" s="49">
        <v>450.0</v>
      </c>
      <c r="E10" s="50">
        <v>75.0</v>
      </c>
      <c r="F10" s="49">
        <v>420.0</v>
      </c>
      <c r="G10" s="51">
        <v>70.0</v>
      </c>
      <c r="J10" s="52">
        <f t="array" ref="J10">index(B6:G10,match(J7,A6:A10,0),match(J6&amp;I8,B3:G3,0))</f>
        <v>15000</v>
      </c>
    </row>
    <row r="12">
      <c r="B12" s="7"/>
      <c r="G12" s="7"/>
    </row>
  </sheetData>
  <dataValidations>
    <dataValidation type="list" allowBlank="1" showErrorMessage="1" sqref="J6">
      <formula1>AdvancedIndex!$B$4:$G$4</formula1>
    </dataValidation>
    <dataValidation type="list" allowBlank="1" showErrorMessage="1" sqref="I8">
      <formula1>AdvancedIndex!$B$5:$G$5</formula1>
    </dataValidation>
    <dataValidation type="list" allowBlank="1" showErrorMessage="1" sqref="J7">
      <formula1>AdvancedIndex!$A$6:$A$10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4.5"/>
    <col customWidth="1" min="2" max="2" width="16.13"/>
    <col customWidth="1" min="3" max="3" width="7.25"/>
    <col customWidth="1" min="4" max="4" width="14.38"/>
    <col customWidth="1" min="5" max="5" width="18.25"/>
    <col customWidth="1" min="7" max="7" width="3.5"/>
    <col customWidth="1" min="8" max="10" width="9.0" outlineLevel="1"/>
    <col customWidth="1" min="11" max="11" width="3.25" outlineLevel="1"/>
    <col min="12" max="12" width="12.63" outlineLevel="1"/>
    <col customWidth="1" min="13" max="13" width="3.88" outlineLevel="1"/>
    <col customWidth="1" min="14" max="14" width="14.38" outlineLevel="1"/>
    <col min="15" max="15" width="12.63" outlineLevel="1"/>
    <col customWidth="1" min="16" max="16" width="2.5" outlineLevel="1"/>
    <col customWidth="1" min="17" max="17" width="12.5" outlineLevel="1"/>
    <col customWidth="1" min="18" max="18" width="14.0" outlineLevel="1"/>
    <col min="19" max="19" width="12.63" outlineLevel="1"/>
  </cols>
  <sheetData>
    <row r="1">
      <c r="A1" s="17" t="s">
        <v>78</v>
      </c>
      <c r="B1" s="18"/>
      <c r="C1" s="18"/>
      <c r="D1" s="18"/>
      <c r="E1" s="18"/>
      <c r="F1" s="18"/>
      <c r="G1" s="26" t="s">
        <v>29</v>
      </c>
      <c r="H1" s="17" t="s">
        <v>79</v>
      </c>
      <c r="I1" s="18"/>
      <c r="J1" s="18"/>
      <c r="K1" s="18"/>
      <c r="L1" s="18"/>
    </row>
    <row r="2">
      <c r="G2" s="27"/>
      <c r="N2" s="20" t="s">
        <v>32</v>
      </c>
      <c r="O2" s="20" t="s">
        <v>34</v>
      </c>
      <c r="Q2" s="53" t="s">
        <v>80</v>
      </c>
      <c r="R2" s="28">
        <v>25000.0</v>
      </c>
    </row>
    <row r="3">
      <c r="B3" s="7" t="s">
        <v>81</v>
      </c>
      <c r="E3" s="7" t="s">
        <v>82</v>
      </c>
      <c r="G3" s="27"/>
      <c r="H3" s="54">
        <f t="array" ref="H3:J4">{1,2,3;4,5,6}</f>
        <v>1</v>
      </c>
      <c r="I3" s="55">
        <v>2.0</v>
      </c>
      <c r="J3" s="55">
        <v>3.0</v>
      </c>
      <c r="L3" s="55" t="str">
        <f>iferror(FORMULATEXT(H3),"")</f>
        <v>={1,2,3;4,5,6}</v>
      </c>
      <c r="N3" s="30" t="s">
        <v>39</v>
      </c>
      <c r="O3" s="32">
        <v>25709.0</v>
      </c>
      <c r="R3" s="55" t="str">
        <f>IFERROR(__xludf.DUMMYFUNCTION("{filter(N3:N12,O3:O12&gt;R2);counta(filter(N3:N12,O3:O12&gt;R2))}"),"Walter Miller")</f>
        <v>Walter Miller</v>
      </c>
    </row>
    <row r="4">
      <c r="A4" s="25">
        <v>44087.0</v>
      </c>
      <c r="B4" s="55">
        <f t="array" ref="B4:B6">month(A4:A6)</f>
        <v>9</v>
      </c>
      <c r="D4" s="19" t="s">
        <v>83</v>
      </c>
      <c r="E4" s="55">
        <f t="shared" ref="E4:E6" si="1">len(D4)</f>
        <v>6</v>
      </c>
      <c r="G4" s="27"/>
      <c r="H4" s="55">
        <v>4.0</v>
      </c>
      <c r="I4" s="55">
        <v>5.0</v>
      </c>
      <c r="J4" s="55">
        <v>6.0</v>
      </c>
      <c r="N4" s="36" t="s">
        <v>42</v>
      </c>
      <c r="O4" s="38">
        <v>26500.0</v>
      </c>
      <c r="R4" s="55" t="str">
        <f>IFERROR(__xludf.DUMMYFUNCTION("""COMPUTED_VALUE"""),"Kim West")</f>
        <v>Kim West</v>
      </c>
    </row>
    <row r="5">
      <c r="A5" s="56">
        <v>44390.0</v>
      </c>
      <c r="B5" s="55">
        <v>7.0</v>
      </c>
      <c r="D5" s="19" t="s">
        <v>84</v>
      </c>
      <c r="E5" s="55">
        <f t="shared" si="1"/>
        <v>12</v>
      </c>
      <c r="G5" s="27"/>
      <c r="N5" s="36" t="s">
        <v>44</v>
      </c>
      <c r="O5" s="38">
        <v>24200.0</v>
      </c>
      <c r="R5" s="55" t="str">
        <f>IFERROR(__xludf.DUMMYFUNCTION("""COMPUTED_VALUE"""),"Vanessa Chavez")</f>
        <v>Vanessa Chavez</v>
      </c>
    </row>
    <row r="6">
      <c r="A6" s="56">
        <v>44482.0</v>
      </c>
      <c r="B6" s="55">
        <v>10.0</v>
      </c>
      <c r="D6" s="19" t="s">
        <v>85</v>
      </c>
      <c r="E6" s="55">
        <f t="shared" si="1"/>
        <v>8</v>
      </c>
      <c r="G6" s="27"/>
      <c r="H6" s="54">
        <f t="array" ref="H6:J7">{{1,2,3};{4,5,6}}</f>
        <v>1</v>
      </c>
      <c r="I6" s="55">
        <v>2.0</v>
      </c>
      <c r="J6" s="55">
        <v>3.0</v>
      </c>
      <c r="L6" s="55" t="str">
        <f>iferror(FORMULATEXT(H6),"")</f>
        <v>={{1,2,3};{4,5,6}}</v>
      </c>
      <c r="N6" s="36" t="s">
        <v>46</v>
      </c>
      <c r="O6" s="38">
        <v>30600.0</v>
      </c>
      <c r="R6" s="55" t="str">
        <f>IFERROR(__xludf.DUMMYFUNCTION("""COMPUTED_VALUE"""),"Reid Good")</f>
        <v>Reid Good</v>
      </c>
    </row>
    <row r="7">
      <c r="D7" s="7" t="s">
        <v>86</v>
      </c>
      <c r="E7" s="8">
        <f>sum(E4:E6)</f>
        <v>26</v>
      </c>
      <c r="G7" s="27"/>
      <c r="H7" s="55">
        <v>4.0</v>
      </c>
      <c r="I7" s="55">
        <v>5.0</v>
      </c>
      <c r="J7" s="55">
        <v>6.0</v>
      </c>
      <c r="N7" s="36" t="s">
        <v>48</v>
      </c>
      <c r="O7" s="38">
        <v>31900.0</v>
      </c>
      <c r="R7" s="55" t="str">
        <f>IFERROR(__xludf.DUMMYFUNCTION("""COMPUTED_VALUE"""),"Christopher Sharp")</f>
        <v>Christopher Sharp</v>
      </c>
    </row>
    <row r="8">
      <c r="D8" s="57" t="s">
        <v>87</v>
      </c>
      <c r="E8" s="8">
        <f t="array" ref="E8">sum(len(D4:D6))</f>
        <v>26</v>
      </c>
      <c r="G8" s="27"/>
      <c r="N8" s="36" t="s">
        <v>49</v>
      </c>
      <c r="O8" s="38">
        <v>32500.0</v>
      </c>
      <c r="R8" s="55" t="str">
        <f>IFERROR(__xludf.DUMMYFUNCTION("""COMPUTED_VALUE"""),"Jessica Lowe")</f>
        <v>Jessica Lowe</v>
      </c>
    </row>
    <row r="9">
      <c r="A9" s="7" t="s">
        <v>88</v>
      </c>
      <c r="G9" s="27"/>
      <c r="H9" s="54">
        <f t="array" ref="H9:I11">{1,4;2,5;3,6}</f>
        <v>1</v>
      </c>
      <c r="I9" s="55">
        <v>4.0</v>
      </c>
      <c r="L9" s="55" t="str">
        <f>iferror(FORMULATEXT(H9),"")</f>
        <v>={1,4;2,5;3,6}</v>
      </c>
      <c r="N9" s="36" t="s">
        <v>51</v>
      </c>
      <c r="O9" s="38">
        <v>32800.0</v>
      </c>
      <c r="R9" s="55" t="str">
        <f>IFERROR(__xludf.DUMMYFUNCTION("""COMPUTED_VALUE"""),"Evie Williamson")</f>
        <v>Evie Williamson</v>
      </c>
    </row>
    <row r="10">
      <c r="G10" s="27"/>
      <c r="H10" s="55">
        <v>2.0</v>
      </c>
      <c r="I10" s="55">
        <v>5.0</v>
      </c>
      <c r="N10" s="36" t="s">
        <v>53</v>
      </c>
      <c r="O10" s="38">
        <v>25900.0</v>
      </c>
      <c r="R10" s="55" t="str">
        <f>IFERROR(__xludf.DUMMYFUNCTION("""COMPUTED_VALUE"""),"Matilda Parry")</f>
        <v>Matilda Parry</v>
      </c>
    </row>
    <row r="11">
      <c r="A11" s="20" t="s">
        <v>32</v>
      </c>
      <c r="B11" s="20" t="s">
        <v>34</v>
      </c>
      <c r="E11" s="28" t="s">
        <v>89</v>
      </c>
      <c r="G11" s="27"/>
      <c r="H11" s="55">
        <v>3.0</v>
      </c>
      <c r="I11" s="55">
        <v>6.0</v>
      </c>
      <c r="N11" s="36" t="s">
        <v>41</v>
      </c>
      <c r="O11" s="38">
        <v>49500.0</v>
      </c>
      <c r="R11" s="55" t="str">
        <f>IFERROR(__xludf.DUMMYFUNCTION("""COMPUTED_VALUE"""),"Makai Bond")</f>
        <v>Makai Bond</v>
      </c>
    </row>
    <row r="12">
      <c r="A12" s="30" t="s">
        <v>39</v>
      </c>
      <c r="B12" s="32">
        <v>25709.0</v>
      </c>
      <c r="C12" s="55" t="b">
        <f t="array" ref="C12:C21">B12:B21&gt;30000</f>
        <v>0</v>
      </c>
      <c r="E12" s="55" t="str">
        <f>IFERROR(__xludf.DUMMYFUNCTION("filter(A12:A21,B12:B21&gt;30000)"),"Vanessa Chavez")</f>
        <v>Vanessa Chavez</v>
      </c>
      <c r="G12" s="27"/>
      <c r="N12" s="36" t="s">
        <v>52</v>
      </c>
      <c r="O12" s="38">
        <v>32500.0</v>
      </c>
      <c r="R12" s="55">
        <f>IFERROR(__xludf.DUMMYFUNCTION("""COMPUTED_VALUE"""),9.0)</f>
        <v>9</v>
      </c>
    </row>
    <row r="13">
      <c r="A13" s="36" t="s">
        <v>42</v>
      </c>
      <c r="B13" s="38">
        <v>26500.0</v>
      </c>
      <c r="C13" s="55" t="b">
        <v>0</v>
      </c>
      <c r="E13" s="55" t="str">
        <f>IFERROR(__xludf.DUMMYFUNCTION("""COMPUTED_VALUE"""),"Reid Good")</f>
        <v>Reid Good</v>
      </c>
      <c r="G13" s="27"/>
      <c r="H13" s="54">
        <f t="array" ref="H13:I15">{{1;2;3},{4;5;6}}</f>
        <v>1</v>
      </c>
      <c r="I13" s="55">
        <v>4.0</v>
      </c>
      <c r="L13" s="55" t="str">
        <f>iferror(FORMULATEXT(H13),"")</f>
        <v>={{1;2;3},{4;5;6}}</v>
      </c>
    </row>
    <row r="14">
      <c r="A14" s="36" t="s">
        <v>44</v>
      </c>
      <c r="B14" s="38">
        <v>24200.0</v>
      </c>
      <c r="C14" s="55" t="b">
        <v>0</v>
      </c>
      <c r="E14" s="55" t="str">
        <f>IFERROR(__xludf.DUMMYFUNCTION("""COMPUTED_VALUE"""),"Christopher Sharp")</f>
        <v>Christopher Sharp</v>
      </c>
      <c r="G14" s="27"/>
      <c r="H14" s="55">
        <v>2.0</v>
      </c>
      <c r="I14" s="55">
        <v>5.0</v>
      </c>
    </row>
    <row r="15">
      <c r="A15" s="36" t="s">
        <v>46</v>
      </c>
      <c r="B15" s="38">
        <v>30600.0</v>
      </c>
      <c r="C15" s="55" t="b">
        <v>1</v>
      </c>
      <c r="E15" s="55" t="str">
        <f>IFERROR(__xludf.DUMMYFUNCTION("""COMPUTED_VALUE"""),"Jessica Lowe")</f>
        <v>Jessica Lowe</v>
      </c>
      <c r="G15" s="27"/>
      <c r="H15" s="55">
        <v>3.0</v>
      </c>
      <c r="I15" s="55">
        <v>6.0</v>
      </c>
    </row>
    <row r="16">
      <c r="A16" s="36" t="s">
        <v>48</v>
      </c>
      <c r="B16" s="38">
        <v>31900.0</v>
      </c>
      <c r="C16" s="55" t="b">
        <v>1</v>
      </c>
      <c r="E16" s="55" t="str">
        <f>IFERROR(__xludf.DUMMYFUNCTION("""COMPUTED_VALUE"""),"Matilda Parry")</f>
        <v>Matilda Parry</v>
      </c>
      <c r="G16" s="27"/>
    </row>
    <row r="17">
      <c r="A17" s="36" t="s">
        <v>49</v>
      </c>
      <c r="B17" s="38">
        <v>32500.0</v>
      </c>
      <c r="C17" s="55" t="b">
        <v>1</v>
      </c>
      <c r="E17" s="55" t="str">
        <f>IFERROR(__xludf.DUMMYFUNCTION("""COMPUTED_VALUE"""),"Makai Bond")</f>
        <v>Makai Bond</v>
      </c>
      <c r="G17" s="27"/>
      <c r="H17" s="7" t="s">
        <v>90</v>
      </c>
    </row>
    <row r="18">
      <c r="A18" s="36" t="s">
        <v>51</v>
      </c>
      <c r="B18" s="38">
        <v>32800.0</v>
      </c>
      <c r="C18" s="55" t="b">
        <v>1</v>
      </c>
      <c r="G18" s="27"/>
      <c r="H18" s="55">
        <f>sum(H13:I15)</f>
        <v>21</v>
      </c>
      <c r="I18" s="55">
        <f t="array" ref="I18:I19">{sum(H13:I15);count(H13:I15)}</f>
        <v>21</v>
      </c>
    </row>
    <row r="19">
      <c r="A19" s="36" t="s">
        <v>53</v>
      </c>
      <c r="B19" s="38">
        <v>25900.0</v>
      </c>
      <c r="C19" s="55" t="b">
        <v>0</v>
      </c>
      <c r="G19" s="27"/>
      <c r="H19" s="55">
        <f>count(H13:I15)</f>
        <v>6</v>
      </c>
      <c r="I19" s="55">
        <v>6.0</v>
      </c>
    </row>
    <row r="20">
      <c r="A20" s="36" t="s">
        <v>41</v>
      </c>
      <c r="B20" s="38">
        <v>49500.0</v>
      </c>
      <c r="C20" s="55" t="b">
        <v>1</v>
      </c>
      <c r="G20" s="27"/>
    </row>
    <row r="21">
      <c r="A21" s="36" t="s">
        <v>52</v>
      </c>
      <c r="B21" s="38">
        <v>32500.0</v>
      </c>
      <c r="C21" s="55" t="b">
        <v>1</v>
      </c>
      <c r="G21" s="27"/>
    </row>
    <row r="22">
      <c r="G22" s="27"/>
    </row>
  </sheetData>
  <conditionalFormatting sqref="R3:R13">
    <cfRule type="cellIs" dxfId="3" priority="1" operator="greaterThan">
      <formula>0</formula>
    </cfRule>
  </conditionalFormatting>
  <dataValidations>
    <dataValidation type="list" allowBlank="1" showErrorMessage="1" sqref="R2">
      <formula1>"20000,25000,30000,40000"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88"/>
  </cols>
  <sheetData>
    <row r="1">
      <c r="A1" s="17" t="s">
        <v>91</v>
      </c>
      <c r="B1" s="18"/>
      <c r="C1" s="18"/>
      <c r="D1" s="18"/>
      <c r="E1" s="18"/>
      <c r="F1" s="18"/>
    </row>
    <row r="3">
      <c r="B3" s="47" t="s">
        <v>92</v>
      </c>
    </row>
    <row r="4">
      <c r="A4" s="7" t="s">
        <v>93</v>
      </c>
      <c r="B4" s="24">
        <f t="array" ref="B4">sum(indirect($B$3&amp;"!C4:C50"))</f>
        <v>1074109</v>
      </c>
    </row>
    <row r="5">
      <c r="A5" s="7" t="s">
        <v>94</v>
      </c>
      <c r="B5" s="24">
        <f t="array" ref="B5">AVERAGE(indirect($B$3&amp;"!C4:C50"))</f>
        <v>53705.45</v>
      </c>
    </row>
    <row r="6">
      <c r="A6" s="7" t="s">
        <v>95</v>
      </c>
      <c r="B6" s="24">
        <f t="array" ref="B6">MEDIAN(indirect($B$3&amp;"!C4:C50"))</f>
        <v>40300</v>
      </c>
    </row>
  </sheetData>
  <dataValidations>
    <dataValidation type="list" allowBlank="1" showErrorMessage="1" sqref="B3">
      <formula1>"Sales &amp; Marketing,Finance,Procurement"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7" t="s">
        <v>96</v>
      </c>
    </row>
    <row r="2">
      <c r="A2" s="58"/>
      <c r="B2" s="58"/>
      <c r="C2" s="58"/>
    </row>
    <row r="3">
      <c r="A3" s="20" t="s">
        <v>37</v>
      </c>
      <c r="B3" s="20" t="s">
        <v>97</v>
      </c>
      <c r="C3" s="20" t="s">
        <v>34</v>
      </c>
    </row>
    <row r="4">
      <c r="A4" s="19" t="s">
        <v>98</v>
      </c>
      <c r="B4" s="19" t="s">
        <v>99</v>
      </c>
      <c r="C4" s="59">
        <v>25600.0</v>
      </c>
    </row>
    <row r="5">
      <c r="A5" s="19" t="s">
        <v>46</v>
      </c>
      <c r="B5" s="19" t="s">
        <v>100</v>
      </c>
      <c r="C5" s="59">
        <v>30600.0</v>
      </c>
    </row>
    <row r="6">
      <c r="A6" s="19" t="s">
        <v>101</v>
      </c>
      <c r="B6" s="19" t="s">
        <v>102</v>
      </c>
      <c r="C6" s="59">
        <v>31200.0</v>
      </c>
    </row>
    <row r="7">
      <c r="A7" s="19" t="s">
        <v>41</v>
      </c>
      <c r="B7" s="19" t="s">
        <v>103</v>
      </c>
      <c r="C7" s="59">
        <v>49500.0</v>
      </c>
    </row>
    <row r="8">
      <c r="A8" s="19" t="s">
        <v>104</v>
      </c>
      <c r="B8" s="19" t="s">
        <v>105</v>
      </c>
      <c r="C8" s="59">
        <v>58300.0</v>
      </c>
    </row>
    <row r="9">
      <c r="A9" s="19" t="s">
        <v>106</v>
      </c>
      <c r="B9" s="19" t="s">
        <v>105</v>
      </c>
      <c r="C9" s="59">
        <v>36400.0</v>
      </c>
    </row>
    <row r="10">
      <c r="A10" s="19" t="s">
        <v>107</v>
      </c>
      <c r="B10" s="19" t="s">
        <v>108</v>
      </c>
      <c r="C10" s="59">
        <v>79600.0</v>
      </c>
    </row>
    <row r="11">
      <c r="A11" s="19" t="s">
        <v>109</v>
      </c>
      <c r="B11" s="19" t="s">
        <v>110</v>
      </c>
      <c r="C11" s="59">
        <v>56500.0</v>
      </c>
    </row>
    <row r="12">
      <c r="A12" s="19" t="s">
        <v>39</v>
      </c>
      <c r="B12" s="19" t="s">
        <v>111</v>
      </c>
      <c r="C12" s="59">
        <v>25709.0</v>
      </c>
    </row>
    <row r="13">
      <c r="A13" s="19" t="s">
        <v>42</v>
      </c>
      <c r="B13" s="19" t="s">
        <v>111</v>
      </c>
      <c r="C13" s="59">
        <v>26500.0</v>
      </c>
    </row>
    <row r="14">
      <c r="A14" s="19" t="s">
        <v>51</v>
      </c>
      <c r="B14" s="19" t="s">
        <v>112</v>
      </c>
      <c r="C14" s="59">
        <v>32800.0</v>
      </c>
    </row>
    <row r="15">
      <c r="A15" s="19" t="s">
        <v>53</v>
      </c>
      <c r="B15" s="19" t="s">
        <v>112</v>
      </c>
      <c r="C15" s="59">
        <v>25900.0</v>
      </c>
    </row>
    <row r="16">
      <c r="A16" s="19" t="s">
        <v>66</v>
      </c>
      <c r="B16" s="19" t="s">
        <v>113</v>
      </c>
      <c r="C16" s="59">
        <v>38500.0</v>
      </c>
    </row>
    <row r="17">
      <c r="A17" s="19" t="s">
        <v>50</v>
      </c>
      <c r="B17" s="19" t="s">
        <v>114</v>
      </c>
      <c r="C17" s="59">
        <v>39400.0</v>
      </c>
    </row>
    <row r="18">
      <c r="A18" s="19" t="s">
        <v>67</v>
      </c>
      <c r="B18" s="19" t="s">
        <v>113</v>
      </c>
      <c r="C18" s="59">
        <v>42500.0</v>
      </c>
    </row>
    <row r="19">
      <c r="A19" s="19" t="s">
        <v>71</v>
      </c>
      <c r="B19" s="19" t="s">
        <v>115</v>
      </c>
      <c r="C19" s="59">
        <v>41200.0</v>
      </c>
    </row>
    <row r="20">
      <c r="A20" s="19" t="s">
        <v>54</v>
      </c>
      <c r="B20" s="19" t="s">
        <v>116</v>
      </c>
      <c r="C20" s="59">
        <v>52100.0</v>
      </c>
    </row>
    <row r="21">
      <c r="A21" s="19" t="s">
        <v>45</v>
      </c>
      <c r="B21" s="19" t="s">
        <v>117</v>
      </c>
      <c r="C21" s="59">
        <v>125600.0</v>
      </c>
    </row>
    <row r="22">
      <c r="A22" s="19" t="s">
        <v>65</v>
      </c>
      <c r="B22" s="19" t="s">
        <v>118</v>
      </c>
      <c r="C22" s="59">
        <v>115000.0</v>
      </c>
    </row>
    <row r="23">
      <c r="A23" s="19" t="s">
        <v>58</v>
      </c>
      <c r="B23" s="19" t="s">
        <v>119</v>
      </c>
      <c r="C23" s="59">
        <v>141200.0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7" t="s">
        <v>120</v>
      </c>
    </row>
    <row r="2">
      <c r="A2" s="58"/>
      <c r="B2" s="58"/>
      <c r="C2" s="58"/>
    </row>
    <row r="3">
      <c r="A3" s="20" t="s">
        <v>37</v>
      </c>
      <c r="B3" s="20" t="s">
        <v>97</v>
      </c>
      <c r="C3" s="20" t="s">
        <v>34</v>
      </c>
    </row>
    <row r="4">
      <c r="A4" s="19" t="s">
        <v>121</v>
      </c>
      <c r="B4" s="19" t="s">
        <v>122</v>
      </c>
      <c r="C4" s="59">
        <v>24700.0</v>
      </c>
    </row>
    <row r="5">
      <c r="A5" s="19" t="s">
        <v>123</v>
      </c>
      <c r="B5" s="19" t="s">
        <v>122</v>
      </c>
      <c r="C5" s="59">
        <v>26900.0</v>
      </c>
    </row>
    <row r="6">
      <c r="A6" s="19" t="s">
        <v>124</v>
      </c>
      <c r="B6" s="19" t="s">
        <v>122</v>
      </c>
      <c r="C6" s="59">
        <v>47200.0</v>
      </c>
    </row>
    <row r="7">
      <c r="A7" s="19" t="s">
        <v>125</v>
      </c>
      <c r="B7" s="19" t="s">
        <v>126</v>
      </c>
      <c r="C7" s="59">
        <v>29800.0</v>
      </c>
    </row>
    <row r="8">
      <c r="A8" s="19" t="s">
        <v>127</v>
      </c>
      <c r="B8" s="19" t="s">
        <v>126</v>
      </c>
      <c r="C8" s="59">
        <v>49727.0</v>
      </c>
    </row>
    <row r="9">
      <c r="A9" s="19" t="s">
        <v>128</v>
      </c>
      <c r="B9" s="19" t="s">
        <v>129</v>
      </c>
      <c r="C9" s="59">
        <v>49000.0</v>
      </c>
    </row>
    <row r="10">
      <c r="A10" s="19" t="s">
        <v>130</v>
      </c>
      <c r="B10" s="19" t="s">
        <v>131</v>
      </c>
      <c r="C10" s="59">
        <v>65270.0</v>
      </c>
    </row>
    <row r="11">
      <c r="A11" s="19" t="s">
        <v>132</v>
      </c>
      <c r="B11" s="19" t="s">
        <v>133</v>
      </c>
      <c r="C11" s="59">
        <v>79600.0</v>
      </c>
    </row>
    <row r="12">
      <c r="A12" s="19" t="s">
        <v>134</v>
      </c>
      <c r="B12" s="19" t="s">
        <v>135</v>
      </c>
      <c r="C12" s="59">
        <v>145000.0</v>
      </c>
    </row>
    <row r="13">
      <c r="A13" s="19" t="s">
        <v>136</v>
      </c>
      <c r="B13" s="19" t="s">
        <v>137</v>
      </c>
      <c r="C13" s="59">
        <v>86500.0</v>
      </c>
    </row>
    <row r="14">
      <c r="A14" s="19" t="s">
        <v>138</v>
      </c>
      <c r="B14" s="19" t="s">
        <v>139</v>
      </c>
      <c r="C14" s="59">
        <v>108357.0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8.0"/>
  </cols>
  <sheetData>
    <row r="1">
      <c r="A1" s="7" t="s">
        <v>140</v>
      </c>
    </row>
    <row r="2">
      <c r="A2" s="58"/>
      <c r="B2" s="58"/>
      <c r="C2" s="58"/>
    </row>
    <row r="3">
      <c r="A3" s="20" t="s">
        <v>37</v>
      </c>
      <c r="B3" s="20" t="s">
        <v>97</v>
      </c>
      <c r="C3" s="20" t="s">
        <v>34</v>
      </c>
    </row>
    <row r="4">
      <c r="A4" s="19" t="s">
        <v>141</v>
      </c>
      <c r="B4" s="19" t="s">
        <v>142</v>
      </c>
      <c r="C4" s="59">
        <v>23500.0</v>
      </c>
      <c r="E4" s="59"/>
    </row>
    <row r="5">
      <c r="A5" s="19" t="s">
        <v>143</v>
      </c>
      <c r="B5" s="19" t="s">
        <v>144</v>
      </c>
      <c r="C5" s="59">
        <v>26500.0</v>
      </c>
      <c r="E5" s="59"/>
    </row>
    <row r="6">
      <c r="A6" s="19" t="s">
        <v>145</v>
      </c>
      <c r="B6" s="19" t="s">
        <v>144</v>
      </c>
      <c r="C6" s="59">
        <v>28400.0</v>
      </c>
      <c r="E6" s="59"/>
    </row>
    <row r="7">
      <c r="A7" s="19" t="s">
        <v>146</v>
      </c>
      <c r="B7" s="19" t="s">
        <v>147</v>
      </c>
      <c r="C7" s="59">
        <v>59900.0</v>
      </c>
      <c r="E7" s="59"/>
    </row>
    <row r="8">
      <c r="A8" s="19" t="s">
        <v>148</v>
      </c>
      <c r="B8" s="19" t="s">
        <v>144</v>
      </c>
      <c r="C8" s="59">
        <v>48500.0</v>
      </c>
      <c r="E8" s="59"/>
    </row>
    <row r="9">
      <c r="A9" s="19" t="s">
        <v>149</v>
      </c>
      <c r="B9" s="19" t="s">
        <v>147</v>
      </c>
      <c r="C9" s="59">
        <v>65200.0</v>
      </c>
      <c r="E9" s="59"/>
    </row>
    <row r="10">
      <c r="A10" s="19" t="s">
        <v>150</v>
      </c>
      <c r="B10" s="19" t="s">
        <v>144</v>
      </c>
      <c r="C10" s="59">
        <v>54600.0</v>
      </c>
      <c r="E10" s="59"/>
    </row>
    <row r="11">
      <c r="A11" s="19" t="s">
        <v>151</v>
      </c>
      <c r="B11" s="19" t="s">
        <v>144</v>
      </c>
      <c r="C11" s="59">
        <v>51300.0</v>
      </c>
      <c r="E11" s="59"/>
    </row>
    <row r="12">
      <c r="A12" s="19" t="s">
        <v>152</v>
      </c>
      <c r="B12" s="19" t="s">
        <v>153</v>
      </c>
      <c r="C12" s="59">
        <v>102500.0</v>
      </c>
      <c r="E12" s="59"/>
    </row>
    <row r="13">
      <c r="A13" s="19" t="s">
        <v>154</v>
      </c>
      <c r="B13" s="19" t="s">
        <v>153</v>
      </c>
      <c r="C13" s="59">
        <v>86055.0</v>
      </c>
      <c r="E13" s="59"/>
    </row>
    <row r="14">
      <c r="A14" s="19" t="s">
        <v>155</v>
      </c>
      <c r="B14" s="19" t="s">
        <v>156</v>
      </c>
      <c r="C14" s="59">
        <v>142000.0</v>
      </c>
      <c r="E14" s="5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8.63"/>
    <col customWidth="1" min="2" max="2" width="15.5"/>
    <col customWidth="1" min="3" max="3" width="9.25"/>
    <col customWidth="1" min="4" max="4" width="14.5" outlineLevel="1"/>
    <col min="5" max="6" width="12.63" outlineLevel="1"/>
    <col customWidth="1" min="7" max="7" width="13.5" outlineLevel="1"/>
    <col customWidth="1" min="8" max="8" width="5.0"/>
    <col customWidth="1" min="9" max="9" width="5.75"/>
    <col min="10" max="10" width="12.63" outlineLevel="1"/>
    <col customWidth="1" min="11" max="11" width="14.63" outlineLevel="1"/>
    <col min="12" max="13" width="12.63" outlineLevel="1"/>
    <col customWidth="1" min="15" max="15" width="2.63"/>
    <col min="16" max="18" width="12.63" outlineLevel="1"/>
  </cols>
  <sheetData>
    <row r="1">
      <c r="A1" s="17" t="s">
        <v>157</v>
      </c>
      <c r="B1" s="18"/>
      <c r="C1" s="18"/>
      <c r="D1" s="18"/>
      <c r="E1" s="18"/>
      <c r="F1" s="18"/>
      <c r="O1" s="26" t="s">
        <v>29</v>
      </c>
      <c r="P1" s="19" t="s">
        <v>158</v>
      </c>
    </row>
    <row r="2">
      <c r="A2" s="7" t="s">
        <v>159</v>
      </c>
      <c r="D2" s="7" t="s">
        <v>160</v>
      </c>
      <c r="J2" s="7" t="s">
        <v>161</v>
      </c>
      <c r="O2" s="27"/>
      <c r="P2" s="19" t="s">
        <v>162</v>
      </c>
    </row>
    <row r="3">
      <c r="A3" s="58"/>
      <c r="B3" s="58"/>
      <c r="C3" s="19" t="b">
        <v>0</v>
      </c>
      <c r="D3" s="58"/>
      <c r="E3" s="58"/>
      <c r="F3" s="58"/>
      <c r="G3" s="58"/>
      <c r="J3" s="58"/>
      <c r="K3" s="58"/>
      <c r="M3" s="58"/>
      <c r="O3" s="27"/>
    </row>
    <row r="4">
      <c r="A4" s="20" t="s">
        <v>163</v>
      </c>
      <c r="B4" s="20" t="s">
        <v>164</v>
      </c>
      <c r="D4" s="20" t="s">
        <v>165</v>
      </c>
      <c r="E4" s="20" t="s">
        <v>166</v>
      </c>
      <c r="F4" s="20" t="s">
        <v>167</v>
      </c>
      <c r="G4" s="20" t="s">
        <v>168</v>
      </c>
      <c r="H4" s="19" t="s">
        <v>169</v>
      </c>
      <c r="J4" s="20" t="s">
        <v>170</v>
      </c>
      <c r="K4" s="28" t="s">
        <v>37</v>
      </c>
      <c r="M4" s="20" t="s">
        <v>37</v>
      </c>
      <c r="O4" s="27"/>
      <c r="P4" s="60">
        <f t="shared" ref="P4:P13" si="1">RANDBETWEEN("3/1/2020","6/1/2020")</f>
        <v>43919</v>
      </c>
    </row>
    <row r="5">
      <c r="A5" s="19">
        <v>8.0</v>
      </c>
      <c r="B5" s="19" t="s">
        <v>171</v>
      </c>
      <c r="D5" s="55">
        <f>rand()</f>
        <v>0.2915717805</v>
      </c>
      <c r="E5" s="55">
        <f t="shared" ref="E5:E14" si="2">RANDBETWEEN(100,1000)</f>
        <v>475</v>
      </c>
      <c r="F5" s="55">
        <f t="array" ref="F5:F14">RANDARRAY(10)</f>
        <v>0.3063423375</v>
      </c>
      <c r="G5" s="55" t="str">
        <f t="shared" ref="G5:G14" si="3">index($H$4:$H$6,randbetween(1,3))</f>
        <v>Productivity</v>
      </c>
      <c r="H5" s="19" t="s">
        <v>171</v>
      </c>
      <c r="J5" s="61" t="s">
        <v>172</v>
      </c>
      <c r="K5" s="24" t="str">
        <f t="array" ref="K5:K24">sort(M5:M24,RANDARRAY(20),true)</f>
        <v>Stevens A</v>
      </c>
      <c r="M5" s="55" t="s">
        <v>173</v>
      </c>
      <c r="O5" s="27"/>
      <c r="P5" s="60">
        <f t="shared" si="1"/>
        <v>43953</v>
      </c>
    </row>
    <row r="6">
      <c r="A6" s="19">
        <v>15.0</v>
      </c>
      <c r="B6" s="19" t="s">
        <v>174</v>
      </c>
      <c r="E6" s="55">
        <f t="shared" si="2"/>
        <v>997</v>
      </c>
      <c r="F6" s="55">
        <v>0.6672122774745004</v>
      </c>
      <c r="G6" s="55" t="str">
        <f t="shared" si="3"/>
        <v>Productivity</v>
      </c>
      <c r="H6" s="19" t="s">
        <v>174</v>
      </c>
      <c r="J6" s="61" t="s">
        <v>172</v>
      </c>
      <c r="K6" s="24" t="s">
        <v>175</v>
      </c>
      <c r="M6" s="55" t="s">
        <v>176</v>
      </c>
      <c r="O6" s="27"/>
      <c r="P6" s="60">
        <f t="shared" si="1"/>
        <v>43961</v>
      </c>
    </row>
    <row r="7">
      <c r="A7" s="19">
        <v>7.0</v>
      </c>
      <c r="B7" s="19" t="s">
        <v>169</v>
      </c>
      <c r="E7" s="55">
        <f t="shared" si="2"/>
        <v>221</v>
      </c>
      <c r="F7" s="55">
        <v>0.5984201218649516</v>
      </c>
      <c r="G7" s="55" t="str">
        <f t="shared" si="3"/>
        <v>Productivity</v>
      </c>
      <c r="J7" s="61" t="s">
        <v>172</v>
      </c>
      <c r="K7" s="24" t="s">
        <v>177</v>
      </c>
      <c r="M7" s="55" t="s">
        <v>177</v>
      </c>
      <c r="O7" s="27"/>
      <c r="P7" s="60">
        <f t="shared" si="1"/>
        <v>43923</v>
      </c>
    </row>
    <row r="8">
      <c r="A8" s="19">
        <v>11.0</v>
      </c>
      <c r="B8" s="19" t="s">
        <v>174</v>
      </c>
      <c r="E8" s="55">
        <f t="shared" si="2"/>
        <v>779</v>
      </c>
      <c r="F8" s="55">
        <v>0.7878490901800357</v>
      </c>
      <c r="G8" s="55" t="str">
        <f t="shared" si="3"/>
        <v>Productivity</v>
      </c>
      <c r="J8" s="61" t="s">
        <v>172</v>
      </c>
      <c r="K8" s="24" t="s">
        <v>178</v>
      </c>
      <c r="M8" s="55" t="s">
        <v>179</v>
      </c>
      <c r="O8" s="27"/>
      <c r="P8" s="60">
        <f t="shared" si="1"/>
        <v>43948</v>
      </c>
    </row>
    <row r="9">
      <c r="A9" s="19">
        <v>13.0</v>
      </c>
      <c r="B9" s="19" t="s">
        <v>169</v>
      </c>
      <c r="E9" s="55">
        <f t="shared" si="2"/>
        <v>270</v>
      </c>
      <c r="F9" s="55">
        <v>0.3207506457643775</v>
      </c>
      <c r="G9" s="55" t="str">
        <f t="shared" si="3"/>
        <v>Game</v>
      </c>
      <c r="J9" s="61" t="s">
        <v>172</v>
      </c>
      <c r="K9" s="24" t="s">
        <v>180</v>
      </c>
      <c r="M9" s="55" t="s">
        <v>181</v>
      </c>
      <c r="O9" s="27"/>
      <c r="P9" s="60">
        <f t="shared" si="1"/>
        <v>43892</v>
      </c>
    </row>
    <row r="10">
      <c r="A10" s="19">
        <v>1.0</v>
      </c>
      <c r="B10" s="19" t="s">
        <v>174</v>
      </c>
      <c r="E10" s="55">
        <f t="shared" si="2"/>
        <v>767</v>
      </c>
      <c r="F10" s="55">
        <v>0.3210472727972512</v>
      </c>
      <c r="G10" s="55" t="str">
        <f t="shared" si="3"/>
        <v>Utility</v>
      </c>
      <c r="J10" s="61" t="s">
        <v>182</v>
      </c>
      <c r="K10" s="24" t="s">
        <v>183</v>
      </c>
      <c r="M10" s="55" t="s">
        <v>184</v>
      </c>
      <c r="O10" s="27"/>
      <c r="P10" s="60">
        <f t="shared" si="1"/>
        <v>43939</v>
      </c>
    </row>
    <row r="11">
      <c r="A11" s="19">
        <v>14.0</v>
      </c>
      <c r="B11" s="19" t="s">
        <v>169</v>
      </c>
      <c r="E11" s="55">
        <f t="shared" si="2"/>
        <v>564</v>
      </c>
      <c r="F11" s="55">
        <v>0.18640792009141738</v>
      </c>
      <c r="G11" s="55" t="str">
        <f t="shared" si="3"/>
        <v>Productivity</v>
      </c>
      <c r="J11" s="61" t="s">
        <v>182</v>
      </c>
      <c r="K11" s="24" t="s">
        <v>185</v>
      </c>
      <c r="M11" s="55" t="s">
        <v>186</v>
      </c>
      <c r="O11" s="27"/>
      <c r="P11" s="60">
        <f t="shared" si="1"/>
        <v>43956</v>
      </c>
    </row>
    <row r="12">
      <c r="A12" s="19">
        <v>5.0</v>
      </c>
      <c r="B12" s="19" t="s">
        <v>169</v>
      </c>
      <c r="E12" s="55">
        <f t="shared" si="2"/>
        <v>763</v>
      </c>
      <c r="F12" s="55">
        <v>0.1764020456686537</v>
      </c>
      <c r="G12" s="55" t="str">
        <f t="shared" si="3"/>
        <v>Utility</v>
      </c>
      <c r="J12" s="61" t="s">
        <v>182</v>
      </c>
      <c r="K12" s="24" t="s">
        <v>187</v>
      </c>
      <c r="M12" s="55" t="s">
        <v>183</v>
      </c>
      <c r="O12" s="27"/>
      <c r="P12" s="60">
        <f t="shared" si="1"/>
        <v>43902</v>
      </c>
    </row>
    <row r="13">
      <c r="A13" s="19">
        <v>4.0</v>
      </c>
      <c r="B13" s="19" t="s">
        <v>171</v>
      </c>
      <c r="E13" s="55">
        <f t="shared" si="2"/>
        <v>586</v>
      </c>
      <c r="F13" s="55">
        <v>0.32155683504442</v>
      </c>
      <c r="G13" s="55" t="str">
        <f t="shared" si="3"/>
        <v>Productivity</v>
      </c>
      <c r="J13" s="61" t="s">
        <v>182</v>
      </c>
      <c r="K13" s="24" t="s">
        <v>188</v>
      </c>
      <c r="M13" s="55" t="s">
        <v>189</v>
      </c>
      <c r="O13" s="27"/>
      <c r="P13" s="60">
        <f t="shared" si="1"/>
        <v>43976</v>
      </c>
    </row>
    <row r="14">
      <c r="A14" s="19">
        <v>10.0</v>
      </c>
      <c r="B14" s="19" t="s">
        <v>174</v>
      </c>
      <c r="E14" s="55">
        <f t="shared" si="2"/>
        <v>838</v>
      </c>
      <c r="F14" s="55">
        <v>0.793178123921955</v>
      </c>
      <c r="G14" s="55" t="str">
        <f t="shared" si="3"/>
        <v>Productivity</v>
      </c>
      <c r="J14" s="61" t="s">
        <v>182</v>
      </c>
      <c r="K14" s="24" t="s">
        <v>176</v>
      </c>
      <c r="M14" s="55" t="s">
        <v>180</v>
      </c>
      <c r="O14" s="27"/>
    </row>
    <row r="15">
      <c r="A15" s="19">
        <v>6.0</v>
      </c>
      <c r="B15" s="19" t="s">
        <v>169</v>
      </c>
      <c r="J15" s="61" t="s">
        <v>190</v>
      </c>
      <c r="K15" s="24" t="s">
        <v>173</v>
      </c>
      <c r="M15" s="55" t="s">
        <v>178</v>
      </c>
      <c r="O15" s="27"/>
    </row>
    <row r="16">
      <c r="A16" s="19">
        <v>12.0</v>
      </c>
      <c r="B16" s="19" t="s">
        <v>171</v>
      </c>
      <c r="J16" s="61" t="s">
        <v>190</v>
      </c>
      <c r="K16" s="24" t="s">
        <v>191</v>
      </c>
      <c r="M16" s="55" t="s">
        <v>192</v>
      </c>
      <c r="O16" s="27"/>
    </row>
    <row r="17">
      <c r="A17" s="19">
        <v>2.0</v>
      </c>
      <c r="B17" s="19" t="s">
        <v>174</v>
      </c>
      <c r="J17" s="61" t="s">
        <v>190</v>
      </c>
      <c r="K17" s="24" t="s">
        <v>186</v>
      </c>
      <c r="M17" s="55" t="s">
        <v>175</v>
      </c>
    </row>
    <row r="18">
      <c r="A18" s="19">
        <v>3.0</v>
      </c>
      <c r="B18" s="19" t="s">
        <v>171</v>
      </c>
      <c r="J18" s="61" t="s">
        <v>190</v>
      </c>
      <c r="K18" s="24" t="s">
        <v>193</v>
      </c>
      <c r="M18" s="55" t="s">
        <v>187</v>
      </c>
    </row>
    <row r="19">
      <c r="A19" s="19">
        <v>9.0</v>
      </c>
      <c r="B19" s="19" t="s">
        <v>171</v>
      </c>
      <c r="J19" s="61" t="s">
        <v>190</v>
      </c>
      <c r="K19" s="24" t="s">
        <v>181</v>
      </c>
      <c r="M19" s="55" t="s">
        <v>191</v>
      </c>
    </row>
    <row r="20">
      <c r="J20" s="61" t="s">
        <v>194</v>
      </c>
      <c r="K20" s="24" t="s">
        <v>184</v>
      </c>
      <c r="M20" s="55" t="s">
        <v>195</v>
      </c>
    </row>
    <row r="21">
      <c r="J21" s="61" t="s">
        <v>194</v>
      </c>
      <c r="K21" s="24" t="s">
        <v>179</v>
      </c>
      <c r="M21" s="55" t="s">
        <v>193</v>
      </c>
    </row>
    <row r="22">
      <c r="J22" s="61" t="s">
        <v>194</v>
      </c>
      <c r="K22" s="24" t="s">
        <v>189</v>
      </c>
      <c r="M22" s="55" t="s">
        <v>196</v>
      </c>
    </row>
    <row r="23">
      <c r="J23" s="61" t="s">
        <v>194</v>
      </c>
      <c r="K23" s="24" t="s">
        <v>195</v>
      </c>
      <c r="M23" s="55" t="s">
        <v>188</v>
      </c>
    </row>
    <row r="24">
      <c r="J24" s="61" t="s">
        <v>194</v>
      </c>
      <c r="K24" s="24" t="s">
        <v>192</v>
      </c>
      <c r="M24" s="55" t="s">
        <v>185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8.25"/>
    <col customWidth="1" min="7" max="7" width="3.25"/>
    <col customWidth="1" min="8" max="8" width="2.75"/>
    <col customWidth="1" min="9" max="10" width="2.25"/>
    <col customWidth="1" min="11" max="17" width="6.5"/>
    <col customWidth="1" min="18" max="18" width="5.5"/>
    <col customWidth="1" min="19" max="26" width="7.38"/>
  </cols>
  <sheetData>
    <row r="1">
      <c r="A1" s="17" t="s">
        <v>197</v>
      </c>
      <c r="B1" s="18"/>
      <c r="C1" s="18"/>
      <c r="D1" s="18"/>
      <c r="E1" s="18"/>
      <c r="F1" s="18"/>
      <c r="H1" s="26" t="s">
        <v>29</v>
      </c>
    </row>
    <row r="2">
      <c r="H2" s="27"/>
      <c r="M2" s="62">
        <v>2020.0</v>
      </c>
    </row>
    <row r="3">
      <c r="A3" s="7" t="s">
        <v>198</v>
      </c>
      <c r="F3" s="58"/>
      <c r="H3" s="27"/>
    </row>
    <row r="4">
      <c r="A4" s="54">
        <f t="array" ref="A4:C5">SEQUENCE(2,3,1,1)</f>
        <v>1</v>
      </c>
      <c r="B4" s="55">
        <v>2.0</v>
      </c>
      <c r="C4" s="55">
        <v>3.0</v>
      </c>
      <c r="E4" s="63">
        <f t="array" ref="E4:E8">SEQUENCE(5,1,"9/1/2020",7)</f>
        <v>44075</v>
      </c>
      <c r="H4" s="27"/>
      <c r="K4" s="64" t="s">
        <v>199</v>
      </c>
      <c r="L4" s="64" t="s">
        <v>200</v>
      </c>
      <c r="M4" s="64" t="s">
        <v>201</v>
      </c>
      <c r="N4" s="64" t="s">
        <v>202</v>
      </c>
      <c r="O4" s="64" t="s">
        <v>203</v>
      </c>
      <c r="P4" s="64" t="s">
        <v>204</v>
      </c>
      <c r="Q4" s="64" t="s">
        <v>205</v>
      </c>
    </row>
    <row r="5">
      <c r="A5" s="55">
        <v>4.0</v>
      </c>
      <c r="B5" s="55">
        <v>5.0</v>
      </c>
      <c r="C5" s="55">
        <v>6.0</v>
      </c>
      <c r="E5" s="25">
        <v>44082.0</v>
      </c>
      <c r="H5" s="27"/>
      <c r="K5" s="65">
        <f t="array" ref="K5:Q57">sequence(53,7,date($M$2,1,1)- WEEKDAY(date($M$2,1,1))+1,1)</f>
        <v>43828</v>
      </c>
      <c r="L5" s="65">
        <v>43829.0</v>
      </c>
      <c r="M5" s="65">
        <v>43830.0</v>
      </c>
      <c r="N5" s="65">
        <v>43831.0</v>
      </c>
      <c r="O5" s="65">
        <v>43832.0</v>
      </c>
      <c r="P5" s="65">
        <v>43833.0</v>
      </c>
      <c r="Q5" s="65">
        <v>43834.0</v>
      </c>
    </row>
    <row r="6">
      <c r="E6" s="25">
        <v>44089.0</v>
      </c>
      <c r="H6" s="27"/>
      <c r="K6" s="65">
        <v>43835.0</v>
      </c>
      <c r="L6" s="65">
        <v>43836.0</v>
      </c>
      <c r="M6" s="65">
        <v>43837.0</v>
      </c>
      <c r="N6" s="65">
        <v>43838.0</v>
      </c>
      <c r="O6" s="65">
        <v>43839.0</v>
      </c>
      <c r="P6" s="65">
        <v>43840.0</v>
      </c>
      <c r="Q6" s="65">
        <v>43841.0</v>
      </c>
    </row>
    <row r="7">
      <c r="A7" s="54">
        <f t="array" ref="A7:B9">transpose(SEQUENCE(2,3,1,1))</f>
        <v>1</v>
      </c>
      <c r="B7" s="55">
        <v>4.0</v>
      </c>
      <c r="E7" s="25">
        <v>44096.0</v>
      </c>
      <c r="H7" s="27"/>
      <c r="K7" s="65">
        <v>43842.0</v>
      </c>
      <c r="L7" s="65">
        <v>43843.0</v>
      </c>
      <c r="M7" s="65">
        <v>43844.0</v>
      </c>
      <c r="N7" s="65">
        <v>43845.0</v>
      </c>
      <c r="O7" s="65">
        <v>43846.0</v>
      </c>
      <c r="P7" s="65">
        <v>43847.0</v>
      </c>
      <c r="Q7" s="65">
        <v>43848.0</v>
      </c>
    </row>
    <row r="8">
      <c r="A8" s="55">
        <v>2.0</v>
      </c>
      <c r="B8" s="55">
        <v>5.0</v>
      </c>
      <c r="E8" s="25">
        <v>44103.0</v>
      </c>
      <c r="H8" s="27"/>
      <c r="K8" s="65">
        <v>43849.0</v>
      </c>
      <c r="L8" s="65">
        <v>43850.0</v>
      </c>
      <c r="M8" s="65">
        <v>43851.0</v>
      </c>
      <c r="N8" s="65">
        <v>43852.0</v>
      </c>
      <c r="O8" s="65">
        <v>43853.0</v>
      </c>
      <c r="P8" s="65">
        <v>43854.0</v>
      </c>
      <c r="Q8" s="65">
        <v>43855.0</v>
      </c>
    </row>
    <row r="9">
      <c r="A9" s="55">
        <v>3.0</v>
      </c>
      <c r="B9" s="55">
        <v>6.0</v>
      </c>
      <c r="E9" s="66"/>
      <c r="H9" s="27"/>
      <c r="K9" s="65">
        <v>43856.0</v>
      </c>
      <c r="L9" s="65">
        <v>43857.0</v>
      </c>
      <c r="M9" s="65">
        <v>43858.0</v>
      </c>
      <c r="N9" s="65">
        <v>43859.0</v>
      </c>
      <c r="O9" s="65">
        <v>43860.0</v>
      </c>
      <c r="P9" s="65">
        <v>43861.0</v>
      </c>
      <c r="Q9" s="65">
        <v>43862.0</v>
      </c>
    </row>
    <row r="10">
      <c r="H10" s="27"/>
      <c r="K10" s="65">
        <v>43863.0</v>
      </c>
      <c r="L10" s="65">
        <v>43864.0</v>
      </c>
      <c r="M10" s="65">
        <v>43865.0</v>
      </c>
      <c r="N10" s="65">
        <v>43866.0</v>
      </c>
      <c r="O10" s="65">
        <v>43867.0</v>
      </c>
      <c r="P10" s="65">
        <v>43868.0</v>
      </c>
      <c r="Q10" s="65">
        <v>43869.0</v>
      </c>
    </row>
    <row r="11">
      <c r="A11" s="7" t="s">
        <v>206</v>
      </c>
      <c r="H11" s="27"/>
      <c r="K11" s="65">
        <v>43870.0</v>
      </c>
      <c r="L11" s="65">
        <v>43871.0</v>
      </c>
      <c r="M11" s="65">
        <v>43872.0</v>
      </c>
      <c r="N11" s="65">
        <v>43873.0</v>
      </c>
      <c r="O11" s="65">
        <v>43874.0</v>
      </c>
      <c r="P11" s="65">
        <v>43875.0</v>
      </c>
      <c r="Q11" s="65">
        <v>43876.0</v>
      </c>
    </row>
    <row r="12">
      <c r="H12" s="27"/>
      <c r="K12" s="65">
        <v>43877.0</v>
      </c>
      <c r="L12" s="65">
        <v>43878.0</v>
      </c>
      <c r="M12" s="65">
        <v>43879.0</v>
      </c>
      <c r="N12" s="65">
        <v>43880.0</v>
      </c>
      <c r="O12" s="65">
        <v>43881.0</v>
      </c>
      <c r="P12" s="65">
        <v>43882.0</v>
      </c>
      <c r="Q12" s="65">
        <v>43883.0</v>
      </c>
    </row>
    <row r="13">
      <c r="A13" s="20" t="s">
        <v>32</v>
      </c>
      <c r="B13" s="20" t="s">
        <v>34</v>
      </c>
      <c r="D13" s="57" t="s">
        <v>80</v>
      </c>
      <c r="E13" s="28">
        <v>20000.0</v>
      </c>
      <c r="H13" s="27"/>
      <c r="K13" s="65">
        <v>43884.0</v>
      </c>
      <c r="L13" s="65">
        <v>43885.0</v>
      </c>
      <c r="M13" s="65">
        <v>43886.0</v>
      </c>
      <c r="N13" s="65">
        <v>43887.0</v>
      </c>
      <c r="O13" s="65">
        <v>43888.0</v>
      </c>
      <c r="P13" s="65">
        <v>43889.0</v>
      </c>
      <c r="Q13" s="65">
        <v>43890.0</v>
      </c>
    </row>
    <row r="14">
      <c r="A14" s="30" t="s">
        <v>39</v>
      </c>
      <c r="B14" s="32">
        <v>25709.0</v>
      </c>
      <c r="D14" s="54">
        <f t="array" ref="D14:D23">SEQUENCE(counta(E14:E29),1)</f>
        <v>1</v>
      </c>
      <c r="E14" s="55" t="str">
        <f>IFERROR(__xludf.DUMMYFUNCTION("filter(A14:A23,B14:B23&gt;E13)"),"Walter Miller")</f>
        <v>Walter Miller</v>
      </c>
      <c r="H14" s="27"/>
      <c r="K14" s="65">
        <v>43891.0</v>
      </c>
      <c r="L14" s="65">
        <v>43892.0</v>
      </c>
      <c r="M14" s="65">
        <v>43893.0</v>
      </c>
      <c r="N14" s="65">
        <v>43894.0</v>
      </c>
      <c r="O14" s="65">
        <v>43895.0</v>
      </c>
      <c r="P14" s="65">
        <v>43896.0</v>
      </c>
      <c r="Q14" s="65">
        <v>43897.0</v>
      </c>
    </row>
    <row r="15">
      <c r="A15" s="36" t="s">
        <v>42</v>
      </c>
      <c r="B15" s="38">
        <v>26500.0</v>
      </c>
      <c r="D15" s="55">
        <v>2.0</v>
      </c>
      <c r="E15" s="55" t="str">
        <f>IFERROR(__xludf.DUMMYFUNCTION("""COMPUTED_VALUE"""),"Kim West")</f>
        <v>Kim West</v>
      </c>
      <c r="H15" s="27"/>
      <c r="K15" s="65">
        <v>43898.0</v>
      </c>
      <c r="L15" s="65">
        <v>43899.0</v>
      </c>
      <c r="M15" s="65">
        <v>43900.0</v>
      </c>
      <c r="N15" s="65">
        <v>43901.0</v>
      </c>
      <c r="O15" s="65">
        <v>43902.0</v>
      </c>
      <c r="P15" s="65">
        <v>43903.0</v>
      </c>
      <c r="Q15" s="65">
        <v>43904.0</v>
      </c>
    </row>
    <row r="16">
      <c r="A16" s="36" t="s">
        <v>44</v>
      </c>
      <c r="B16" s="38">
        <v>24200.0</v>
      </c>
      <c r="D16" s="55">
        <v>3.0</v>
      </c>
      <c r="E16" s="55" t="str">
        <f>IFERROR(__xludf.DUMMYFUNCTION("""COMPUTED_VALUE"""),"Lyric Wise")</f>
        <v>Lyric Wise</v>
      </c>
      <c r="H16" s="27"/>
      <c r="K16" s="65">
        <v>43905.0</v>
      </c>
      <c r="L16" s="65">
        <v>43906.0</v>
      </c>
      <c r="M16" s="65">
        <v>43907.0</v>
      </c>
      <c r="N16" s="65">
        <v>43908.0</v>
      </c>
      <c r="O16" s="65">
        <v>43909.0</v>
      </c>
      <c r="P16" s="65">
        <v>43910.0</v>
      </c>
      <c r="Q16" s="65">
        <v>43911.0</v>
      </c>
    </row>
    <row r="17">
      <c r="A17" s="36" t="s">
        <v>46</v>
      </c>
      <c r="B17" s="38">
        <v>30600.0</v>
      </c>
      <c r="D17" s="55">
        <v>4.0</v>
      </c>
      <c r="E17" s="55" t="str">
        <f>IFERROR(__xludf.DUMMYFUNCTION("""COMPUTED_VALUE"""),"Vanessa Chavez")</f>
        <v>Vanessa Chavez</v>
      </c>
      <c r="H17" s="27"/>
      <c r="K17" s="65">
        <v>43912.0</v>
      </c>
      <c r="L17" s="65">
        <v>43913.0</v>
      </c>
      <c r="M17" s="65">
        <v>43914.0</v>
      </c>
      <c r="N17" s="65">
        <v>43915.0</v>
      </c>
      <c r="O17" s="65">
        <v>43916.0</v>
      </c>
      <c r="P17" s="65">
        <v>43917.0</v>
      </c>
      <c r="Q17" s="65">
        <v>43918.0</v>
      </c>
    </row>
    <row r="18">
      <c r="A18" s="36" t="s">
        <v>48</v>
      </c>
      <c r="B18" s="38">
        <v>31900.0</v>
      </c>
      <c r="D18" s="55">
        <v>5.0</v>
      </c>
      <c r="E18" s="55" t="str">
        <f>IFERROR(__xludf.DUMMYFUNCTION("""COMPUTED_VALUE"""),"Reid Good")</f>
        <v>Reid Good</v>
      </c>
      <c r="H18" s="27"/>
      <c r="K18" s="65">
        <v>43919.0</v>
      </c>
      <c r="L18" s="65">
        <v>43920.0</v>
      </c>
      <c r="M18" s="65">
        <v>43921.0</v>
      </c>
      <c r="N18" s="65">
        <v>43922.0</v>
      </c>
      <c r="O18" s="65">
        <v>43923.0</v>
      </c>
      <c r="P18" s="65">
        <v>43924.0</v>
      </c>
      <c r="Q18" s="65">
        <v>43925.0</v>
      </c>
    </row>
    <row r="19">
      <c r="A19" s="36" t="s">
        <v>49</v>
      </c>
      <c r="B19" s="38">
        <v>32500.0</v>
      </c>
      <c r="D19" s="55">
        <v>6.0</v>
      </c>
      <c r="E19" s="55" t="str">
        <f>IFERROR(__xludf.DUMMYFUNCTION("""COMPUTED_VALUE"""),"Christopher Sharp")</f>
        <v>Christopher Sharp</v>
      </c>
      <c r="H19" s="27"/>
      <c r="K19" s="65">
        <v>43926.0</v>
      </c>
      <c r="L19" s="65">
        <v>43927.0</v>
      </c>
      <c r="M19" s="65">
        <v>43928.0</v>
      </c>
      <c r="N19" s="65">
        <v>43929.0</v>
      </c>
      <c r="O19" s="65">
        <v>43930.0</v>
      </c>
      <c r="P19" s="65">
        <v>43931.0</v>
      </c>
      <c r="Q19" s="65">
        <v>43932.0</v>
      </c>
    </row>
    <row r="20">
      <c r="A20" s="36" t="s">
        <v>51</v>
      </c>
      <c r="B20" s="38">
        <v>32800.0</v>
      </c>
      <c r="D20" s="55">
        <v>7.0</v>
      </c>
      <c r="E20" s="55" t="str">
        <f>IFERROR(__xludf.DUMMYFUNCTION("""COMPUTED_VALUE"""),"Jessica Lowe")</f>
        <v>Jessica Lowe</v>
      </c>
      <c r="H20" s="27"/>
      <c r="K20" s="65">
        <v>43933.0</v>
      </c>
      <c r="L20" s="65">
        <v>43934.0</v>
      </c>
      <c r="M20" s="65">
        <v>43935.0</v>
      </c>
      <c r="N20" s="65">
        <v>43936.0</v>
      </c>
      <c r="O20" s="65">
        <v>43937.0</v>
      </c>
      <c r="P20" s="65">
        <v>43938.0</v>
      </c>
      <c r="Q20" s="65">
        <v>43939.0</v>
      </c>
    </row>
    <row r="21">
      <c r="A21" s="36" t="s">
        <v>53</v>
      </c>
      <c r="B21" s="38">
        <v>25900.0</v>
      </c>
      <c r="D21" s="55">
        <v>8.0</v>
      </c>
      <c r="E21" s="55" t="str">
        <f>IFERROR(__xludf.DUMMYFUNCTION("""COMPUTED_VALUE"""),"Evie Williamson")</f>
        <v>Evie Williamson</v>
      </c>
      <c r="H21" s="27"/>
      <c r="K21" s="65">
        <v>43940.0</v>
      </c>
      <c r="L21" s="65">
        <v>43941.0</v>
      </c>
      <c r="M21" s="65">
        <v>43942.0</v>
      </c>
      <c r="N21" s="65">
        <v>43943.0</v>
      </c>
      <c r="O21" s="65">
        <v>43944.0</v>
      </c>
      <c r="P21" s="65">
        <v>43945.0</v>
      </c>
      <c r="Q21" s="65">
        <v>43946.0</v>
      </c>
    </row>
    <row r="22">
      <c r="A22" s="36" t="s">
        <v>41</v>
      </c>
      <c r="B22" s="38">
        <v>49500.0</v>
      </c>
      <c r="D22" s="55">
        <v>9.0</v>
      </c>
      <c r="E22" s="55" t="str">
        <f>IFERROR(__xludf.DUMMYFUNCTION("""COMPUTED_VALUE"""),"Matilda Parry")</f>
        <v>Matilda Parry</v>
      </c>
      <c r="H22" s="27"/>
      <c r="K22" s="65">
        <v>43947.0</v>
      </c>
      <c r="L22" s="65">
        <v>43948.0</v>
      </c>
      <c r="M22" s="65">
        <v>43949.0</v>
      </c>
      <c r="N22" s="65">
        <v>43950.0</v>
      </c>
      <c r="O22" s="65">
        <v>43951.0</v>
      </c>
      <c r="P22" s="65">
        <v>43952.0</v>
      </c>
      <c r="Q22" s="65">
        <v>43953.0</v>
      </c>
    </row>
    <row r="23">
      <c r="A23" s="36" t="s">
        <v>52</v>
      </c>
      <c r="B23" s="38">
        <v>32500.0</v>
      </c>
      <c r="D23" s="55">
        <v>10.0</v>
      </c>
      <c r="E23" s="55" t="str">
        <f>IFERROR(__xludf.DUMMYFUNCTION("""COMPUTED_VALUE"""),"Makai Bond")</f>
        <v>Makai Bond</v>
      </c>
      <c r="H23" s="27"/>
      <c r="K23" s="65">
        <v>43954.0</v>
      </c>
      <c r="L23" s="65">
        <v>43955.0</v>
      </c>
      <c r="M23" s="65">
        <v>43956.0</v>
      </c>
      <c r="N23" s="65">
        <v>43957.0</v>
      </c>
      <c r="O23" s="65">
        <v>43958.0</v>
      </c>
      <c r="P23" s="65">
        <v>43959.0</v>
      </c>
      <c r="Q23" s="65">
        <v>43960.0</v>
      </c>
    </row>
    <row r="24">
      <c r="K24" s="65">
        <v>43961.0</v>
      </c>
      <c r="L24" s="65">
        <v>43962.0</v>
      </c>
      <c r="M24" s="65">
        <v>43963.0</v>
      </c>
      <c r="N24" s="65">
        <v>43964.0</v>
      </c>
      <c r="O24" s="65">
        <v>43965.0</v>
      </c>
      <c r="P24" s="65">
        <v>43966.0</v>
      </c>
      <c r="Q24" s="65">
        <v>43967.0</v>
      </c>
    </row>
    <row r="25">
      <c r="K25" s="65">
        <v>43968.0</v>
      </c>
      <c r="L25" s="65">
        <v>43969.0</v>
      </c>
      <c r="M25" s="65">
        <v>43970.0</v>
      </c>
      <c r="N25" s="65">
        <v>43971.0</v>
      </c>
      <c r="O25" s="65">
        <v>43972.0</v>
      </c>
      <c r="P25" s="65">
        <v>43973.0</v>
      </c>
      <c r="Q25" s="65">
        <v>43974.0</v>
      </c>
    </row>
    <row r="26">
      <c r="K26" s="65">
        <v>43975.0</v>
      </c>
      <c r="L26" s="65">
        <v>43976.0</v>
      </c>
      <c r="M26" s="65">
        <v>43977.0</v>
      </c>
      <c r="N26" s="65">
        <v>43978.0</v>
      </c>
      <c r="O26" s="65">
        <v>43979.0</v>
      </c>
      <c r="P26" s="65">
        <v>43980.0</v>
      </c>
      <c r="Q26" s="65">
        <v>43981.0</v>
      </c>
    </row>
    <row r="27">
      <c r="K27" s="65">
        <v>43982.0</v>
      </c>
      <c r="L27" s="65">
        <v>43983.0</v>
      </c>
      <c r="M27" s="65">
        <v>43984.0</v>
      </c>
      <c r="N27" s="65">
        <v>43985.0</v>
      </c>
      <c r="O27" s="65">
        <v>43986.0</v>
      </c>
      <c r="P27" s="65">
        <v>43987.0</v>
      </c>
      <c r="Q27" s="65">
        <v>43988.0</v>
      </c>
    </row>
    <row r="28">
      <c r="K28" s="65">
        <v>43989.0</v>
      </c>
      <c r="L28" s="65">
        <v>43990.0</v>
      </c>
      <c r="M28" s="65">
        <v>43991.0</v>
      </c>
      <c r="N28" s="65">
        <v>43992.0</v>
      </c>
      <c r="O28" s="65">
        <v>43993.0</v>
      </c>
      <c r="P28" s="65">
        <v>43994.0</v>
      </c>
      <c r="Q28" s="65">
        <v>43995.0</v>
      </c>
    </row>
    <row r="29">
      <c r="K29" s="65">
        <v>43996.0</v>
      </c>
      <c r="L29" s="65">
        <v>43997.0</v>
      </c>
      <c r="M29" s="65">
        <v>43998.0</v>
      </c>
      <c r="N29" s="65">
        <v>43999.0</v>
      </c>
      <c r="O29" s="65">
        <v>44000.0</v>
      </c>
      <c r="P29" s="65">
        <v>44001.0</v>
      </c>
      <c r="Q29" s="65">
        <v>44002.0</v>
      </c>
    </row>
    <row r="30">
      <c r="K30" s="65">
        <v>44003.0</v>
      </c>
      <c r="L30" s="65">
        <v>44004.0</v>
      </c>
      <c r="M30" s="65">
        <v>44005.0</v>
      </c>
      <c r="N30" s="65">
        <v>44006.0</v>
      </c>
      <c r="O30" s="65">
        <v>44007.0</v>
      </c>
      <c r="P30" s="65">
        <v>44008.0</v>
      </c>
      <c r="Q30" s="65">
        <v>44009.0</v>
      </c>
    </row>
    <row r="31">
      <c r="K31" s="65">
        <v>44010.0</v>
      </c>
      <c r="L31" s="65">
        <v>44011.0</v>
      </c>
      <c r="M31" s="65">
        <v>44012.0</v>
      </c>
      <c r="N31" s="65">
        <v>44013.0</v>
      </c>
      <c r="O31" s="65">
        <v>44014.0</v>
      </c>
      <c r="P31" s="65">
        <v>44015.0</v>
      </c>
      <c r="Q31" s="65">
        <v>44016.0</v>
      </c>
    </row>
    <row r="32">
      <c r="K32" s="65">
        <v>44017.0</v>
      </c>
      <c r="L32" s="65">
        <v>44018.0</v>
      </c>
      <c r="M32" s="65">
        <v>44019.0</v>
      </c>
      <c r="N32" s="65">
        <v>44020.0</v>
      </c>
      <c r="O32" s="65">
        <v>44021.0</v>
      </c>
      <c r="P32" s="65">
        <v>44022.0</v>
      </c>
      <c r="Q32" s="65">
        <v>44023.0</v>
      </c>
    </row>
    <row r="33">
      <c r="K33" s="65">
        <v>44024.0</v>
      </c>
      <c r="L33" s="65">
        <v>44025.0</v>
      </c>
      <c r="M33" s="65">
        <v>44026.0</v>
      </c>
      <c r="N33" s="65">
        <v>44027.0</v>
      </c>
      <c r="O33" s="65">
        <v>44028.0</v>
      </c>
      <c r="P33" s="65">
        <v>44029.0</v>
      </c>
      <c r="Q33" s="65">
        <v>44030.0</v>
      </c>
    </row>
    <row r="34">
      <c r="K34" s="65">
        <v>44031.0</v>
      </c>
      <c r="L34" s="65">
        <v>44032.0</v>
      </c>
      <c r="M34" s="65">
        <v>44033.0</v>
      </c>
      <c r="N34" s="65">
        <v>44034.0</v>
      </c>
      <c r="O34" s="65">
        <v>44035.0</v>
      </c>
      <c r="P34" s="65">
        <v>44036.0</v>
      </c>
      <c r="Q34" s="65">
        <v>44037.0</v>
      </c>
    </row>
    <row r="35">
      <c r="K35" s="65">
        <v>44038.0</v>
      </c>
      <c r="L35" s="65">
        <v>44039.0</v>
      </c>
      <c r="M35" s="65">
        <v>44040.0</v>
      </c>
      <c r="N35" s="65">
        <v>44041.0</v>
      </c>
      <c r="O35" s="65">
        <v>44042.0</v>
      </c>
      <c r="P35" s="65">
        <v>44043.0</v>
      </c>
      <c r="Q35" s="65">
        <v>44044.0</v>
      </c>
    </row>
    <row r="36">
      <c r="K36" s="65">
        <v>44045.0</v>
      </c>
      <c r="L36" s="65">
        <v>44046.0</v>
      </c>
      <c r="M36" s="65">
        <v>44047.0</v>
      </c>
      <c r="N36" s="65">
        <v>44048.0</v>
      </c>
      <c r="O36" s="65">
        <v>44049.0</v>
      </c>
      <c r="P36" s="65">
        <v>44050.0</v>
      </c>
      <c r="Q36" s="65">
        <v>44051.0</v>
      </c>
    </row>
    <row r="37">
      <c r="K37" s="65">
        <v>44052.0</v>
      </c>
      <c r="L37" s="65">
        <v>44053.0</v>
      </c>
      <c r="M37" s="65">
        <v>44054.0</v>
      </c>
      <c r="N37" s="65">
        <v>44055.0</v>
      </c>
      <c r="O37" s="65">
        <v>44056.0</v>
      </c>
      <c r="P37" s="65">
        <v>44057.0</v>
      </c>
      <c r="Q37" s="65">
        <v>44058.0</v>
      </c>
    </row>
    <row r="38">
      <c r="K38" s="65">
        <v>44059.0</v>
      </c>
      <c r="L38" s="65">
        <v>44060.0</v>
      </c>
      <c r="M38" s="65">
        <v>44061.0</v>
      </c>
      <c r="N38" s="65">
        <v>44062.0</v>
      </c>
      <c r="O38" s="65">
        <v>44063.0</v>
      </c>
      <c r="P38" s="65">
        <v>44064.0</v>
      </c>
      <c r="Q38" s="65">
        <v>44065.0</v>
      </c>
    </row>
    <row r="39">
      <c r="K39" s="65">
        <v>44066.0</v>
      </c>
      <c r="L39" s="65">
        <v>44067.0</v>
      </c>
      <c r="M39" s="65">
        <v>44068.0</v>
      </c>
      <c r="N39" s="65">
        <v>44069.0</v>
      </c>
      <c r="O39" s="65">
        <v>44070.0</v>
      </c>
      <c r="P39" s="65">
        <v>44071.0</v>
      </c>
      <c r="Q39" s="65">
        <v>44072.0</v>
      </c>
    </row>
    <row r="40">
      <c r="K40" s="65">
        <v>44073.0</v>
      </c>
      <c r="L40" s="65">
        <v>44074.0</v>
      </c>
      <c r="M40" s="65">
        <v>44075.0</v>
      </c>
      <c r="N40" s="65">
        <v>44076.0</v>
      </c>
      <c r="O40" s="65">
        <v>44077.0</v>
      </c>
      <c r="P40" s="65">
        <v>44078.0</v>
      </c>
      <c r="Q40" s="65">
        <v>44079.0</v>
      </c>
    </row>
    <row r="41">
      <c r="K41" s="65">
        <v>44080.0</v>
      </c>
      <c r="L41" s="65">
        <v>44081.0</v>
      </c>
      <c r="M41" s="65">
        <v>44082.0</v>
      </c>
      <c r="N41" s="65">
        <v>44083.0</v>
      </c>
      <c r="O41" s="65">
        <v>44084.0</v>
      </c>
      <c r="P41" s="65">
        <v>44085.0</v>
      </c>
      <c r="Q41" s="65">
        <v>44086.0</v>
      </c>
    </row>
    <row r="42">
      <c r="K42" s="65">
        <v>44087.0</v>
      </c>
      <c r="L42" s="65">
        <v>44088.0</v>
      </c>
      <c r="M42" s="65">
        <v>44089.0</v>
      </c>
      <c r="N42" s="65">
        <v>44090.0</v>
      </c>
      <c r="O42" s="65">
        <v>44091.0</v>
      </c>
      <c r="P42" s="65">
        <v>44092.0</v>
      </c>
      <c r="Q42" s="65">
        <v>44093.0</v>
      </c>
    </row>
    <row r="43">
      <c r="K43" s="65">
        <v>44094.0</v>
      </c>
      <c r="L43" s="65">
        <v>44095.0</v>
      </c>
      <c r="M43" s="65">
        <v>44096.0</v>
      </c>
      <c r="N43" s="65">
        <v>44097.0</v>
      </c>
      <c r="O43" s="65">
        <v>44098.0</v>
      </c>
      <c r="P43" s="65">
        <v>44099.0</v>
      </c>
      <c r="Q43" s="65">
        <v>44100.0</v>
      </c>
    </row>
    <row r="44">
      <c r="K44" s="65">
        <v>44101.0</v>
      </c>
      <c r="L44" s="65">
        <v>44102.0</v>
      </c>
      <c r="M44" s="65">
        <v>44103.0</v>
      </c>
      <c r="N44" s="65">
        <v>44104.0</v>
      </c>
      <c r="O44" s="65">
        <v>44105.0</v>
      </c>
      <c r="P44" s="65">
        <v>44106.0</v>
      </c>
      <c r="Q44" s="65">
        <v>44107.0</v>
      </c>
    </row>
    <row r="45">
      <c r="K45" s="65">
        <v>44108.0</v>
      </c>
      <c r="L45" s="65">
        <v>44109.0</v>
      </c>
      <c r="M45" s="65">
        <v>44110.0</v>
      </c>
      <c r="N45" s="65">
        <v>44111.0</v>
      </c>
      <c r="O45" s="65">
        <v>44112.0</v>
      </c>
      <c r="P45" s="65">
        <v>44113.0</v>
      </c>
      <c r="Q45" s="65">
        <v>44114.0</v>
      </c>
    </row>
    <row r="46">
      <c r="K46" s="65">
        <v>44115.0</v>
      </c>
      <c r="L46" s="65">
        <v>44116.0</v>
      </c>
      <c r="M46" s="65">
        <v>44117.0</v>
      </c>
      <c r="N46" s="65">
        <v>44118.0</v>
      </c>
      <c r="O46" s="65">
        <v>44119.0</v>
      </c>
      <c r="P46" s="65">
        <v>44120.0</v>
      </c>
      <c r="Q46" s="65">
        <v>44121.0</v>
      </c>
    </row>
    <row r="47">
      <c r="K47" s="65">
        <v>44122.0</v>
      </c>
      <c r="L47" s="65">
        <v>44123.0</v>
      </c>
      <c r="M47" s="65">
        <v>44124.0</v>
      </c>
      <c r="N47" s="65">
        <v>44125.0</v>
      </c>
      <c r="O47" s="65">
        <v>44126.0</v>
      </c>
      <c r="P47" s="65">
        <v>44127.0</v>
      </c>
      <c r="Q47" s="65">
        <v>44128.0</v>
      </c>
    </row>
    <row r="48">
      <c r="K48" s="65">
        <v>44129.0</v>
      </c>
      <c r="L48" s="65">
        <v>44130.0</v>
      </c>
      <c r="M48" s="65">
        <v>44131.0</v>
      </c>
      <c r="N48" s="65">
        <v>44132.0</v>
      </c>
      <c r="O48" s="65">
        <v>44133.0</v>
      </c>
      <c r="P48" s="65">
        <v>44134.0</v>
      </c>
      <c r="Q48" s="65">
        <v>44135.0</v>
      </c>
    </row>
    <row r="49">
      <c r="K49" s="65">
        <v>44136.0</v>
      </c>
      <c r="L49" s="65">
        <v>44137.0</v>
      </c>
      <c r="M49" s="65">
        <v>44138.0</v>
      </c>
      <c r="N49" s="65">
        <v>44139.0</v>
      </c>
      <c r="O49" s="65">
        <v>44140.0</v>
      </c>
      <c r="P49" s="65">
        <v>44141.0</v>
      </c>
      <c r="Q49" s="65">
        <v>44142.0</v>
      </c>
    </row>
    <row r="50">
      <c r="K50" s="65">
        <v>44143.0</v>
      </c>
      <c r="L50" s="65">
        <v>44144.0</v>
      </c>
      <c r="M50" s="65">
        <v>44145.0</v>
      </c>
      <c r="N50" s="65">
        <v>44146.0</v>
      </c>
      <c r="O50" s="65">
        <v>44147.0</v>
      </c>
      <c r="P50" s="65">
        <v>44148.0</v>
      </c>
      <c r="Q50" s="65">
        <v>44149.0</v>
      </c>
    </row>
    <row r="51">
      <c r="K51" s="65">
        <v>44150.0</v>
      </c>
      <c r="L51" s="65">
        <v>44151.0</v>
      </c>
      <c r="M51" s="65">
        <v>44152.0</v>
      </c>
      <c r="N51" s="65">
        <v>44153.0</v>
      </c>
      <c r="O51" s="65">
        <v>44154.0</v>
      </c>
      <c r="P51" s="65">
        <v>44155.0</v>
      </c>
      <c r="Q51" s="65">
        <v>44156.0</v>
      </c>
    </row>
    <row r="52">
      <c r="K52" s="65">
        <v>44157.0</v>
      </c>
      <c r="L52" s="65">
        <v>44158.0</v>
      </c>
      <c r="M52" s="65">
        <v>44159.0</v>
      </c>
      <c r="N52" s="65">
        <v>44160.0</v>
      </c>
      <c r="O52" s="65">
        <v>44161.0</v>
      </c>
      <c r="P52" s="65">
        <v>44162.0</v>
      </c>
      <c r="Q52" s="65">
        <v>44163.0</v>
      </c>
    </row>
    <row r="53">
      <c r="K53" s="65">
        <v>44164.0</v>
      </c>
      <c r="L53" s="65">
        <v>44165.0</v>
      </c>
      <c r="M53" s="65">
        <v>44166.0</v>
      </c>
      <c r="N53" s="65">
        <v>44167.0</v>
      </c>
      <c r="O53" s="65">
        <v>44168.0</v>
      </c>
      <c r="P53" s="65">
        <v>44169.0</v>
      </c>
      <c r="Q53" s="65">
        <v>44170.0</v>
      </c>
    </row>
    <row r="54">
      <c r="K54" s="65">
        <v>44171.0</v>
      </c>
      <c r="L54" s="65">
        <v>44172.0</v>
      </c>
      <c r="M54" s="65">
        <v>44173.0</v>
      </c>
      <c r="N54" s="65">
        <v>44174.0</v>
      </c>
      <c r="O54" s="65">
        <v>44175.0</v>
      </c>
      <c r="P54" s="65">
        <v>44176.0</v>
      </c>
      <c r="Q54" s="65">
        <v>44177.0</v>
      </c>
    </row>
    <row r="55">
      <c r="K55" s="65">
        <v>44178.0</v>
      </c>
      <c r="L55" s="65">
        <v>44179.0</v>
      </c>
      <c r="M55" s="65">
        <v>44180.0</v>
      </c>
      <c r="N55" s="65">
        <v>44181.0</v>
      </c>
      <c r="O55" s="65">
        <v>44182.0</v>
      </c>
      <c r="P55" s="65">
        <v>44183.0</v>
      </c>
      <c r="Q55" s="65">
        <v>44184.0</v>
      </c>
    </row>
    <row r="56">
      <c r="K56" s="65">
        <v>44185.0</v>
      </c>
      <c r="L56" s="65">
        <v>44186.0</v>
      </c>
      <c r="M56" s="65">
        <v>44187.0</v>
      </c>
      <c r="N56" s="65">
        <v>44188.0</v>
      </c>
      <c r="O56" s="65">
        <v>44189.0</v>
      </c>
      <c r="P56" s="65">
        <v>44190.0</v>
      </c>
      <c r="Q56" s="65">
        <v>44191.0</v>
      </c>
    </row>
    <row r="57">
      <c r="K57" s="65">
        <v>44192.0</v>
      </c>
      <c r="L57" s="65">
        <v>44193.0</v>
      </c>
      <c r="M57" s="65">
        <v>44194.0</v>
      </c>
      <c r="N57" s="65">
        <v>44195.0</v>
      </c>
      <c r="O57" s="65">
        <v>44196.0</v>
      </c>
      <c r="P57" s="65">
        <v>44197.0</v>
      </c>
      <c r="Q57" s="65">
        <v>44198.0</v>
      </c>
    </row>
  </sheetData>
  <mergeCells count="1">
    <mergeCell ref="M2:O2"/>
  </mergeCells>
  <conditionalFormatting sqref="E14:E23">
    <cfRule type="cellIs" dxfId="3" priority="1" operator="greaterThan">
      <formula>0</formula>
    </cfRule>
  </conditionalFormatting>
  <conditionalFormatting sqref="K5:Q57">
    <cfRule type="expression" dxfId="4" priority="2">
      <formula>year(K5)&lt;&gt;$M$2</formula>
    </cfRule>
  </conditionalFormatting>
  <conditionalFormatting sqref="K5:Q57">
    <cfRule type="expression" dxfId="5" priority="3">
      <formula>mod(month(K5),2)</formula>
    </cfRule>
  </conditionalFormatting>
  <dataValidations>
    <dataValidation type="decimal" allowBlank="1" showDropDown="1" showErrorMessage="1" sqref="M2">
      <formula1>1990.0</formula1>
      <formula2>2090.0</formula2>
    </dataValidation>
    <dataValidation type="list" allowBlank="1" showErrorMessage="1" sqref="E13">
      <formula1>"20000,25000,30000,40000"</formula1>
    </dataValidation>
  </dataValidations>
  <drawing r:id="rId1"/>
</worksheet>
</file>