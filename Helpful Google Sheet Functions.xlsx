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nslate" sheetId="2" r:id="rId6"/>
    <sheet state="visible" name="Image" sheetId="3" r:id="rId7"/>
    <sheet state="visible" name="IMPORTHTML" sheetId="4" r:id="rId8"/>
    <sheet state="visible" name="IMPORTXML" sheetId="5" r:id="rId9"/>
    <sheet state="visible" name="GOOGLEFINANCE" sheetId="6" r:id="rId10"/>
    <sheet state="visible" name="Challenge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Calculate portfolio cost (shares * price)</t>
      </text>
    </comment>
    <comment authorId="0" ref="G6">
      <text>
        <t xml:space="preserve">Retrieve the 52 week low price to get an idea about the fluctuations in stock price.</t>
      </text>
    </comment>
    <comment authorId="0" ref="H6">
      <text>
        <t xml:space="preserve">Retrieve the 52 week high price to get an idea about the fluctuations in stock price.</t>
      </text>
    </comment>
    <comment authorId="0" ref="I6">
      <text>
        <t xml:space="preserve">Retrieve the current price</t>
      </text>
    </comment>
    <comment authorId="0" ref="J6">
      <text>
        <t xml:space="preserve">Calculate current portfolio value based on current price.</t>
      </text>
    </comment>
    <comment authorId="0" ref="K6">
      <text>
        <t xml:space="preserve">Calculate by how much the portfolio value has increased or decreased. 
Add conditional formatting to format cells with negative values with an orange background color.</t>
      </text>
    </comment>
    <comment authorId="0" ref="F13">
      <text>
        <t xml:space="preserve">Calculate total cost</t>
      </text>
    </comment>
    <comment authorId="0" ref="C6">
      <text>
        <t xml:space="preserve">Get the name of the stock.</t>
      </text>
    </comment>
    <comment authorId="0" ref="J13">
      <text>
        <t xml:space="preserve">Calculate total cost</t>
      </text>
    </comment>
    <comment authorId="0" ref="K13">
      <text>
        <t xml:space="preserve">Calculate total cost</t>
      </text>
    </comment>
  </commentList>
</comments>
</file>

<file path=xl/sharedStrings.xml><?xml version="1.0" encoding="utf-8"?>
<sst xmlns="http://schemas.openxmlformats.org/spreadsheetml/2006/main" count="100" uniqueCount="82">
  <si>
    <t>Google Sheets Essentials</t>
  </si>
  <si>
    <t>Helpful Google Sheet Functions</t>
  </si>
  <si>
    <t>LINK</t>
  </si>
  <si>
    <t>TOPIC</t>
  </si>
  <si>
    <t>COMPREHENSION</t>
  </si>
  <si>
    <t>YOUR NOTES</t>
  </si>
  <si>
    <t>Detect Language and Translate Your Spreadsheets</t>
  </si>
  <si>
    <t>Select One…</t>
  </si>
  <si>
    <t>Image Function (Pro Tip: Create QR Codes)</t>
  </si>
  <si>
    <t>Import Tables From the Web (IMPORTHTML)</t>
  </si>
  <si>
    <t>Import Any Data from the Web (IMPORTXML)</t>
  </si>
  <si>
    <t>Stock &amp; Currency Data with GOOGLEFINANCE</t>
  </si>
  <si>
    <t>Challenge: Did You Invest in the Right Stock?</t>
  </si>
  <si>
    <t>Select Language</t>
  </si>
  <si>
    <t>German</t>
  </si>
  <si>
    <t>English</t>
  </si>
  <si>
    <t>en</t>
  </si>
  <si>
    <t>Language codes for Google Translate:</t>
  </si>
  <si>
    <t>de</t>
  </si>
  <si>
    <t>https://developers.google.com/admin-sdk/directory/v1/languages</t>
  </si>
  <si>
    <t>Spanish</t>
  </si>
  <si>
    <t>es</t>
  </si>
  <si>
    <t>Total Sales</t>
  </si>
  <si>
    <t>French</t>
  </si>
  <si>
    <t>fr</t>
  </si>
  <si>
    <t>Total Profit</t>
  </si>
  <si>
    <t>Russian</t>
  </si>
  <si>
    <t>ru</t>
  </si>
  <si>
    <t>Sales for next year</t>
  </si>
  <si>
    <t>Profit for next year</t>
  </si>
  <si>
    <t>Any Comments</t>
  </si>
  <si>
    <t>Es gab viele Probleme</t>
  </si>
  <si>
    <t>Image Function (Create QR Codes)</t>
  </si>
  <si>
    <t>Get images from the Web</t>
  </si>
  <si>
    <t>Import ANY Data from a Web Page</t>
  </si>
  <si>
    <t>*</t>
  </si>
  <si>
    <t>Matches any element node</t>
  </si>
  <si>
    <t>More on XPATH</t>
  </si>
  <si>
    <t>https://www.w3schools.com/xml/xpath_intro.asp</t>
  </si>
  <si>
    <t>//</t>
  </si>
  <si>
    <t>Select all elements of type &lt; no matter where they are</t>
  </si>
  <si>
    <t>//h2</t>
  </si>
  <si>
    <t>Select all h2 elements</t>
  </si>
  <si>
    <t>@</t>
  </si>
  <si>
    <t>Select attributes</t>
  </si>
  <si>
    <t>[@class='what you need']</t>
  </si>
  <si>
    <t>Select elements that meet the criteria</t>
  </si>
  <si>
    <t>//@href</t>
  </si>
  <si>
    <t>Select all attributes that are links</t>
  </si>
  <si>
    <t>Get header 2 (h2)</t>
  </si>
  <si>
    <t>Get all external links</t>
  </si>
  <si>
    <t>Get currency change info and retrieve latest data with checkbox</t>
  </si>
  <si>
    <t>Currency EUR to USD</t>
  </si>
  <si>
    <t>NASDAQ:TSLA</t>
  </si>
  <si>
    <t>MUTF:VFINX</t>
  </si>
  <si>
    <t>From</t>
  </si>
  <si>
    <t>USD</t>
  </si>
  <si>
    <t>EUR</t>
  </si>
  <si>
    <t>PLN</t>
  </si>
  <si>
    <t>GBP</t>
  </si>
  <si>
    <t>AUD</t>
  </si>
  <si>
    <t>INR</t>
  </si>
  <si>
    <t>CAD</t>
  </si>
  <si>
    <t xml:space="preserve">Below is a list of stocks you've invested in. The number of shares you've bought is in column D and the price you paid in Column E. </t>
  </si>
  <si>
    <t>Follow the notes in the headers to complete your analysis.</t>
  </si>
  <si>
    <t>Which stocks were a good choice and which ones resulted in a loss?</t>
  </si>
  <si>
    <t>Ticker</t>
  </si>
  <si>
    <t>Name</t>
  </si>
  <si>
    <t>Shares</t>
  </si>
  <si>
    <t>Buy price</t>
  </si>
  <si>
    <t>Portfolio Cost</t>
  </si>
  <si>
    <t>52 week low</t>
  </si>
  <si>
    <t>52 week high</t>
  </si>
  <si>
    <t>Current price</t>
  </si>
  <si>
    <t>Portfolio Value</t>
  </si>
  <si>
    <t>Position Up/Down</t>
  </si>
  <si>
    <t>NASDAQ:MSFT</t>
  </si>
  <si>
    <t>NASDAQ:GOOG</t>
  </si>
  <si>
    <t>NASDAQ:AMZN</t>
  </si>
  <si>
    <t>NYSE:RCL</t>
  </si>
  <si>
    <t>NASDAQ:UAL</t>
  </si>
  <si>
    <t>NASDAQ:AAL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</si>
</sst>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5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b/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b/>
      <sz val="11.0"/>
      <color theme="1"/>
      <name val="Roboto"/>
      <scheme val="minor"/>
    </font>
    <font>
      <color theme="1"/>
      <name val="Arial"/>
    </font>
    <font>
      <b/>
      <color theme="1"/>
      <name val="Arial"/>
    </font>
    <font>
      <u/>
      <color rgb="FF1155CC"/>
    </font>
    <font/>
    <font>
      <u/>
      <color rgb="FF1155CC"/>
      <name val="Arial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DEFDFF"/>
        <bgColor rgb="FFDEFDFF"/>
      </patternFill>
    </fill>
    <fill>
      <patternFill patternType="solid">
        <fgColor rgb="FFFFFAEC"/>
        <bgColor rgb="FFFFFAEC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F4FFF9"/>
        <bgColor rgb="FFF4FFF9"/>
      </patternFill>
    </fill>
    <fill>
      <patternFill patternType="solid">
        <fgColor rgb="FFEFEFEF"/>
        <bgColor rgb="FFEFEFEF"/>
      </patternFill>
    </fill>
  </fills>
  <borders count="11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34343"/>
      </bottom>
    </border>
    <border>
      <right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medium">
        <color rgb="FF99999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3" fillId="0" fontId="8" numFmtId="0" xfId="0" applyAlignment="1" applyBorder="1" applyFont="1">
      <alignment readingOrder="0"/>
    </xf>
    <xf borderId="3" fillId="0" fontId="1" numFmtId="0" xfId="0" applyBorder="1" applyFont="1"/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4" fontId="10" numFmtId="0" xfId="0" applyAlignment="1" applyFill="1" applyFont="1">
      <alignment readingOrder="0" vertical="bottom"/>
    </xf>
    <xf borderId="0" fillId="0" fontId="1" numFmtId="0" xfId="0" applyAlignment="1" applyFont="1">
      <alignment readingOrder="0"/>
    </xf>
    <xf borderId="4" fillId="0" fontId="9" numFmtId="0" xfId="0" applyAlignment="1" applyBorder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1" numFmtId="0" xfId="0" applyFont="1"/>
    <xf borderId="5" fillId="5" fontId="1" numFmtId="3" xfId="0" applyAlignment="1" applyBorder="1" applyFill="1" applyFont="1" applyNumberFormat="1">
      <alignment readingOrder="0"/>
    </xf>
    <xf borderId="6" fillId="5" fontId="1" numFmtId="3" xfId="0" applyAlignment="1" applyBorder="1" applyFont="1" applyNumberFormat="1">
      <alignment readingOrder="0" vertical="top"/>
    </xf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0" fillId="6" fontId="9" numFmtId="0" xfId="0" applyAlignment="1" applyFill="1" applyFont="1">
      <alignment horizontal="center" vertical="bottom"/>
    </xf>
    <xf borderId="0" fillId="0" fontId="10" numFmtId="0" xfId="0" applyAlignment="1" applyFont="1">
      <alignment readingOrder="0" vertical="bottom"/>
    </xf>
    <xf borderId="0" fillId="0" fontId="13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4" numFmtId="0" xfId="0" applyFont="1"/>
    <xf borderId="0" fillId="0" fontId="1" numFmtId="10" xfId="0" applyFont="1" applyNumberFormat="1"/>
    <xf borderId="0" fillId="7" fontId="1" numFmtId="0" xfId="0" applyFill="1" applyFont="1"/>
    <xf borderId="0" fillId="0" fontId="6" numFmtId="0" xfId="0" applyAlignment="1" applyFont="1">
      <alignment horizontal="right" readingOrder="0"/>
    </xf>
    <xf borderId="10" fillId="0" fontId="10" numFmtId="0" xfId="0" applyAlignment="1" applyBorder="1" applyFont="1">
      <alignment horizontal="left" vertical="bottom"/>
    </xf>
    <xf borderId="5" fillId="8" fontId="1" numFmtId="3" xfId="0" applyAlignment="1" applyBorder="1" applyFill="1" applyFont="1" applyNumberFormat="1">
      <alignment readingOrder="0"/>
    </xf>
    <xf borderId="5" fillId="5" fontId="1" numFmtId="164" xfId="0" applyAlignment="1" applyBorder="1" applyFont="1" applyNumberFormat="1">
      <alignment readingOrder="0"/>
    </xf>
    <xf borderId="5" fillId="8" fontId="1" numFmtId="164" xfId="0" applyAlignment="1" applyBorder="1" applyFont="1" applyNumberFormat="1">
      <alignment readingOrder="0"/>
    </xf>
    <xf borderId="5" fillId="9" fontId="6" numFmtId="164" xfId="0" applyAlignment="1" applyBorder="1" applyFill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google.com/admin-sdk/directory/v1/language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www.techradar.com/news/software/google-wants-to-better-challenge-microsoft-office-with-these-new-features-1329658" TargetMode="External"/><Relationship Id="rId42" Type="http://schemas.openxmlformats.org/officeDocument/2006/relationships/hyperlink" Target="https://www.theverge.com/2017/6/1/15724970/google-sheets-update-charts-explore-sync-data" TargetMode="External"/><Relationship Id="rId41" Type="http://schemas.openxmlformats.org/officeDocument/2006/relationships/hyperlink" Target="https://techcrunch.com/2017/06/01/google-sheets-now-uses-machine-learning-to-automatically-visualize-your-data/" TargetMode="External"/><Relationship Id="rId44" Type="http://schemas.openxmlformats.org/officeDocument/2006/relationships/hyperlink" Target="https://www.zdnet.com/article/google-brings-new-ai-machine-learning-features-to-sheets/" TargetMode="External"/><Relationship Id="rId43" Type="http://schemas.openxmlformats.org/officeDocument/2006/relationships/hyperlink" Target="https://techcrunch.com/2017/12/06/latest-google-sheets-release-adds-smarts-to-pivot-table-creation/" TargetMode="External"/><Relationship Id="rId46" Type="http://schemas.openxmlformats.org/officeDocument/2006/relationships/hyperlink" Target="https://drive.googleblog.com/2014/03/add-ons.html" TargetMode="External"/><Relationship Id="rId45" Type="http://schemas.openxmlformats.org/officeDocument/2006/relationships/hyperlink" Target="https://www.blog.google/products/g-suite/five-new-ways-reach-your-goals-faster-g-suite/" TargetMode="External"/><Relationship Id="rId1" Type="http://schemas.openxmlformats.org/officeDocument/2006/relationships/hyperlink" Target="https://www.w3schools.com/xml/xpath_intro.asp" TargetMode="External"/><Relationship Id="rId2" Type="http://schemas.openxmlformats.org/officeDocument/2006/relationships/hyperlink" Target="https://github.com/googleworkspace" TargetMode="External"/><Relationship Id="rId3" Type="http://schemas.openxmlformats.org/officeDocument/2006/relationships/hyperlink" Target="https://script.google.com" TargetMode="External"/><Relationship Id="rId4" Type="http://schemas.openxmlformats.org/officeDocument/2006/relationships/hyperlink" Target="https://github.com/googleworkspace" TargetMode="External"/><Relationship Id="rId9" Type="http://schemas.openxmlformats.org/officeDocument/2006/relationships/hyperlink" Target="https://www.apkmirror.com/apk/google-inc/docs/google-docs-1-26-201-00-release/" TargetMode="External"/><Relationship Id="rId48" Type="http://schemas.openxmlformats.org/officeDocument/2006/relationships/hyperlink" Target="https://support.google.com/drive/answer/2375012" TargetMode="External"/><Relationship Id="rId47" Type="http://schemas.openxmlformats.org/officeDocument/2006/relationships/hyperlink" Target="https://support.google.com/docs/answer/14356410?hl=en" TargetMode="External"/><Relationship Id="rId49" Type="http://schemas.openxmlformats.org/officeDocument/2006/relationships/hyperlink" Target="https://support.google.com/drive/answer/2375012?co=GENIE.Platform%3DAndroid&amp;oco=1" TargetMode="External"/><Relationship Id="rId5" Type="http://schemas.openxmlformats.org/officeDocument/2006/relationships/hyperlink" Target="https://chromewebstore.google.com/detail/ghbmnnjooekpmoecnnnilnnbdlolhkhi" TargetMode="External"/><Relationship Id="rId6" Type="http://schemas.openxmlformats.org/officeDocument/2006/relationships/hyperlink" Target="https://play.google.com/store/apps/details?id=com.google.android.apps.docs.editors.docs" TargetMode="External"/><Relationship Id="rId7" Type="http://schemas.openxmlformats.org/officeDocument/2006/relationships/hyperlink" Target="https://play.google.com/store/apps/details?id=com.google.android.apps.docs.editors.slides" TargetMode="External"/><Relationship Id="rId8" Type="http://schemas.openxmlformats.org/officeDocument/2006/relationships/hyperlink" Target="https://play.google.com/store/apps/details?id=com.google.android.apps.docs.editors.sheets" TargetMode="External"/><Relationship Id="rId31" Type="http://schemas.openxmlformats.org/officeDocument/2006/relationships/hyperlink" Target="https://gsuiteupdates.googleblog.com/2015/07/a-new-look-for-google-docs-sheets-and.html" TargetMode="External"/><Relationship Id="rId30" Type="http://schemas.openxmlformats.org/officeDocument/2006/relationships/hyperlink" Target="https://gsuiteupdates.googleblog.com/2014/08/new-google-slides-docs-and-sheets-apps.html" TargetMode="External"/><Relationship Id="rId33" Type="http://schemas.openxmlformats.org/officeDocument/2006/relationships/hyperlink" Target="https://news.cnet.com/8301-1001_3-10314002-92.html" TargetMode="External"/><Relationship Id="rId32" Type="http://schemas.openxmlformats.org/officeDocument/2006/relationships/hyperlink" Target="https://web.archive.org/web/20120810230818/http://news.cnet.com/8301-1001_3-10314002-92.html" TargetMode="External"/><Relationship Id="rId35" Type="http://schemas.openxmlformats.org/officeDocument/2006/relationships/hyperlink" Target="https://support.google.com/a/users/answer/9308757?hl=en" TargetMode="External"/><Relationship Id="rId34" Type="http://schemas.openxmlformats.org/officeDocument/2006/relationships/hyperlink" Target="https://support.google.com/docs/answer/190843" TargetMode="External"/><Relationship Id="rId37" Type="http://schemas.openxmlformats.org/officeDocument/2006/relationships/hyperlink" Target="https://docs.googleblog.com/2016/09/ExploreinDocsSheetsSlides.html" TargetMode="External"/><Relationship Id="rId36" Type="http://schemas.openxmlformats.org/officeDocument/2006/relationships/hyperlink" Target="https://docs.google.com/spreadsheets/d/e/2PACX-1vRMUG7FvU_k5OOtiXGZ69bCd4xHjdQEaWflhE9NZfKjD1z0fgJ4g_2EcY_g4acoL749ZgfPrBsQad9F/pubhtml" TargetMode="External"/><Relationship Id="rId39" Type="http://schemas.openxmlformats.org/officeDocument/2006/relationships/hyperlink" Target="https://venturebeat.com/2016/09/29/google-updates-calendar-drive-docs-sheets-and-slides-with-machine-intelligence-features/" TargetMode="External"/><Relationship Id="rId38" Type="http://schemas.openxmlformats.org/officeDocument/2006/relationships/hyperlink" Target="https://web.archive.org/web/20161227040046/http://venturebeat.com/2016/09/29/google-updates-calendar-drive-docs-sheets-and-slides-with-machine-intelligence-features/" TargetMode="External"/><Relationship Id="rId62" Type="http://schemas.openxmlformats.org/officeDocument/2006/relationships/hyperlink" Target="https://web.archive.org/web/20130317181727/https://support.google.com/a/bin/answer.py?hl=en&amp;answer=3017040" TargetMode="External"/><Relationship Id="rId61" Type="http://schemas.openxmlformats.org/officeDocument/2006/relationships/hyperlink" Target="http://mashable.com/2011/02/24/google-cloud-connect-2/" TargetMode="External"/><Relationship Id="rId20" Type="http://schemas.openxmlformats.org/officeDocument/2006/relationships/hyperlink" Target="http://googlepress.blogspot.no/2006/06/google-announces-limited-test-on-google_06.html" TargetMode="External"/><Relationship Id="rId64" Type="http://schemas.openxmlformats.org/officeDocument/2006/relationships/hyperlink" Target="https://www.marktechpost.com/2022/12/13/google-unveils-a-new-machine-learning-add-on-for-google-sheets-called-simple-ml-for-sheets-which-allows-users-to-leverage-the-power-of-machine-learning-without-any-coding-experience/" TargetMode="External"/><Relationship Id="rId63" Type="http://schemas.openxmlformats.org/officeDocument/2006/relationships/hyperlink" Target="https://support.google.com/a/bin/answer.py?hl=en&amp;answer=3017040" TargetMode="External"/><Relationship Id="rId22" Type="http://schemas.openxmlformats.org/officeDocument/2006/relationships/hyperlink" Target="http://phandroid.com/2010/03/05/google-buys-docverse-for-office-collaboration-chrome-android-wave-implications/" TargetMode="External"/><Relationship Id="rId66" Type="http://schemas.openxmlformats.org/officeDocument/2006/relationships/hyperlink" Target="https://wikimediafoundation.org/" TargetMode="External"/><Relationship Id="rId21" Type="http://schemas.openxmlformats.org/officeDocument/2006/relationships/hyperlink" Target="http://googlepress.blogspot.no/2006/10/google-announces-google-docs_11.html" TargetMode="External"/><Relationship Id="rId65" Type="http://schemas.openxmlformats.org/officeDocument/2006/relationships/hyperlink" Target="https://www.google.com/sheets/about/" TargetMode="External"/><Relationship Id="rId24" Type="http://schemas.openxmlformats.org/officeDocument/2006/relationships/hyperlink" Target="https://googleblog.blogspot.no/2012/06/google-quickoffice-get-more-done.html" TargetMode="External"/><Relationship Id="rId23" Type="http://schemas.openxmlformats.org/officeDocument/2006/relationships/hyperlink" Target="https://drive.googleblog.com/2010/04/a-rebuilt-more-real-time-google.html" TargetMode="External"/><Relationship Id="rId67" Type="http://schemas.openxmlformats.org/officeDocument/2006/relationships/drawing" Target="../drawings/drawing5.xml"/><Relationship Id="rId60" Type="http://schemas.openxmlformats.org/officeDocument/2006/relationships/hyperlink" Target="https://drive.googleblog.com/2011/02/google-cloud-connect-for-microsoft.html" TargetMode="External"/><Relationship Id="rId26" Type="http://schemas.openxmlformats.org/officeDocument/2006/relationships/hyperlink" Target="https://support.google.com/docs/answer/2375082" TargetMode="External"/><Relationship Id="rId25" Type="http://schemas.openxmlformats.org/officeDocument/2006/relationships/hyperlink" Target="https://thenextweb.com/google/2012/10/23/google-drive-apps-renamed-docs-sheets-and-slides-now-available-in-the-chrome-web-store/" TargetMode="External"/><Relationship Id="rId28" Type="http://schemas.openxmlformats.org/officeDocument/2006/relationships/hyperlink" Target="https://googleblog.blogspot.com/2014/04/new-mobile-apps-for-docs-sheets-and.html" TargetMode="External"/><Relationship Id="rId27" Type="http://schemas.openxmlformats.org/officeDocument/2006/relationships/hyperlink" Target="https://gsuiteupdates.googleblog.com/2014/06/dedicated-desktop-home-pages-for-google.html" TargetMode="External"/><Relationship Id="rId29" Type="http://schemas.openxmlformats.org/officeDocument/2006/relationships/hyperlink" Target="https://drive.googleblog.com/2014/06/newdocssheetsslides.html" TargetMode="External"/><Relationship Id="rId51" Type="http://schemas.openxmlformats.org/officeDocument/2006/relationships/hyperlink" Target="https://support.google.com/docs/answer/6055139" TargetMode="External"/><Relationship Id="rId50" Type="http://schemas.openxmlformats.org/officeDocument/2006/relationships/hyperlink" Target="https://support.google.com/drive/answer/2375012?co=GENIE.Platform%3DiOS&amp;oco=1" TargetMode="External"/><Relationship Id="rId53" Type="http://schemas.openxmlformats.org/officeDocument/2006/relationships/hyperlink" Target="https://support.google.com/docs/answer/97447" TargetMode="External"/><Relationship Id="rId52" Type="http://schemas.openxmlformats.org/officeDocument/2006/relationships/hyperlink" Target="https://support.google.com/drive/answer/37603" TargetMode="External"/><Relationship Id="rId11" Type="http://schemas.openxmlformats.org/officeDocument/2006/relationships/hyperlink" Target="https://www.apkmirror.com/apk/google-inc/sheets/google-sheets-1-26-201-02-release/" TargetMode="External"/><Relationship Id="rId55" Type="http://schemas.openxmlformats.org/officeDocument/2006/relationships/hyperlink" Target="https://developers.google.com/chart/interactive/docs/spreadsheets" TargetMode="External"/><Relationship Id="rId10" Type="http://schemas.openxmlformats.org/officeDocument/2006/relationships/hyperlink" Target="https://www.apkmirror.com/apk/google-inc/slides/google-slides-1-26-201-00-release/" TargetMode="External"/><Relationship Id="rId54" Type="http://schemas.openxmlformats.org/officeDocument/2006/relationships/hyperlink" Target="https://gsuite.google.com/pricing.html" TargetMode="External"/><Relationship Id="rId13" Type="http://schemas.openxmlformats.org/officeDocument/2006/relationships/hyperlink" Target="https://apps.apple.com/us/app/google-slides/id879478102" TargetMode="External"/><Relationship Id="rId57" Type="http://schemas.openxmlformats.org/officeDocument/2006/relationships/hyperlink" Target="https://support.google.com/docs/answer/161768" TargetMode="External"/><Relationship Id="rId12" Type="http://schemas.openxmlformats.org/officeDocument/2006/relationships/hyperlink" Target="https://apps.apple.com/us/app/google-docs/id842842640" TargetMode="External"/><Relationship Id="rId56" Type="http://schemas.openxmlformats.org/officeDocument/2006/relationships/hyperlink" Target="https://gsuite.google.com/marketplace/app/wikipedia_and_wikidata_tools/595109124715?pann=cwsdp&amp;hl=en" TargetMode="External"/><Relationship Id="rId15" Type="http://schemas.openxmlformats.org/officeDocument/2006/relationships/hyperlink" Target="https://drive.googleblog.com/2013/06/18-new-languages-for-drive-docs-sheets.html" TargetMode="External"/><Relationship Id="rId59" Type="http://schemas.openxmlformats.org/officeDocument/2006/relationships/hyperlink" Target="https://support.google.com/a/answer/9306273" TargetMode="External"/><Relationship Id="rId14" Type="http://schemas.openxmlformats.org/officeDocument/2006/relationships/hyperlink" Target="https://apps.apple.com/us/app/google-sheets/id842849113" TargetMode="External"/><Relationship Id="rId58" Type="http://schemas.openxmlformats.org/officeDocument/2006/relationships/hyperlink" Target="https://chrome.google.com/webstore/detail/office-editing-for-docs-s/gbkeegbaiigmenfmjfclcdgdpimamgkj" TargetMode="External"/><Relationship Id="rId17" Type="http://schemas.openxmlformats.org/officeDocument/2006/relationships/hyperlink" Target="https://njtechweekly.com/at-madison-meetup-njs-rochelle-talks-xl2web-acquisition-by-google/" TargetMode="External"/><Relationship Id="rId16" Type="http://schemas.openxmlformats.org/officeDocument/2006/relationships/hyperlink" Target="https://gsuiteupdates.googleblog.com/2019/04/office-editing.html" TargetMode="External"/><Relationship Id="rId19" Type="http://schemas.openxmlformats.org/officeDocument/2006/relationships/hyperlink" Target="https://googleblog.blogspot.no/2006/06/its-nice-to-share.html" TargetMode="External"/><Relationship Id="rId18" Type="http://schemas.openxmlformats.org/officeDocument/2006/relationships/hyperlink" Target="https://www.zdnet.com/article/googles-40-acquisitions-in-2010-what-about-integration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0" t="s">
        <v>2</v>
      </c>
      <c r="C6" s="14" t="s">
        <v>8</v>
      </c>
      <c r="D6" s="13"/>
      <c r="E6" s="15" t="s">
        <v>7</v>
      </c>
      <c r="F6" s="13"/>
      <c r="G6" s="13"/>
    </row>
    <row r="7">
      <c r="A7" s="13"/>
      <c r="B7" s="10" t="s">
        <v>2</v>
      </c>
      <c r="C7" s="14" t="s">
        <v>9</v>
      </c>
      <c r="D7" s="13"/>
      <c r="E7" s="15" t="s">
        <v>7</v>
      </c>
      <c r="F7" s="13"/>
      <c r="G7" s="13"/>
    </row>
    <row r="8">
      <c r="A8" s="13"/>
      <c r="B8" s="10" t="s">
        <v>2</v>
      </c>
      <c r="C8" s="14" t="s">
        <v>10</v>
      </c>
      <c r="D8" s="13"/>
      <c r="E8" s="15" t="s">
        <v>7</v>
      </c>
      <c r="F8" s="13"/>
      <c r="G8" s="13"/>
    </row>
    <row r="9">
      <c r="A9" s="13"/>
      <c r="B9" s="10" t="s">
        <v>2</v>
      </c>
      <c r="C9" s="14" t="s">
        <v>11</v>
      </c>
      <c r="D9" s="13"/>
      <c r="E9" s="15" t="s">
        <v>7</v>
      </c>
      <c r="F9" s="13"/>
      <c r="G9" s="13"/>
    </row>
    <row r="10">
      <c r="A10" s="13"/>
      <c r="B10" s="10" t="s">
        <v>2</v>
      </c>
      <c r="C10" s="14" t="s">
        <v>12</v>
      </c>
      <c r="D10" s="13"/>
      <c r="E10" s="15" t="s">
        <v>7</v>
      </c>
      <c r="F10" s="13"/>
      <c r="G10" s="13"/>
    </row>
    <row r="11">
      <c r="A11" s="13"/>
      <c r="B11" s="13"/>
      <c r="C11" s="14"/>
      <c r="D11" s="13"/>
      <c r="E11" s="15"/>
      <c r="F11" s="13"/>
      <c r="G11" s="13"/>
    </row>
    <row r="12">
      <c r="A12" s="13"/>
      <c r="B12" s="13"/>
      <c r="C12" s="14"/>
      <c r="D12" s="13"/>
      <c r="E12" s="15"/>
      <c r="F12" s="13"/>
      <c r="G12" s="13"/>
    </row>
    <row r="13" ht="9.75" customHeight="1">
      <c r="A13" s="4"/>
      <c r="B13" s="4"/>
      <c r="C13" s="16"/>
      <c r="D13" s="4"/>
      <c r="E13" s="4"/>
      <c r="F13" s="4"/>
      <c r="G13" s="4"/>
    </row>
  </sheetData>
  <mergeCells count="2">
    <mergeCell ref="B1:G1"/>
    <mergeCell ref="B2:G2"/>
  </mergeCells>
  <conditionalFormatting sqref="B5:F12">
    <cfRule type="expression" dxfId="0" priority="1">
      <formula>$E5="Done &amp; Understood"</formula>
    </cfRule>
  </conditionalFormatting>
  <conditionalFormatting sqref="B5:F12">
    <cfRule type="expression" dxfId="1" priority="2">
      <formula>$E5="Done but needs practice"</formula>
    </cfRule>
  </conditionalFormatting>
  <conditionalFormatting sqref="B5:F12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10">
      <formula1>"Select One…,Done &amp; Understood,Done but needs practice,Review Later"</formula1>
    </dataValidation>
  </dataValidations>
  <hyperlinks>
    <hyperlink display="LINK" location="Translate!A1" ref="B5"/>
    <hyperlink display="LINK" location="Image!A1" ref="B6"/>
    <hyperlink display="LINK" location="IMPORTHTML!A1" ref="B7"/>
    <hyperlink display="LINK" location="IMPORTXML!A1" ref="B8"/>
    <hyperlink display="LINK" location="GOOGLEFINANCE!A1" ref="B9"/>
    <hyperlink display="LINK" location="Challenge!A1" ref="B10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8.75"/>
    <col collapsed="1" customWidth="1" min="2" max="2" width="2.13"/>
    <col customWidth="1" hidden="1" min="3" max="3" width="16.88" outlineLevel="1"/>
    <col customWidth="1" min="4" max="4" width="24.5"/>
    <col customWidth="1" min="6" max="6" width="4.75"/>
    <col customWidth="1" min="7" max="7" width="4.38"/>
    <col customWidth="1" min="9" max="9" width="5.5"/>
  </cols>
  <sheetData>
    <row r="1">
      <c r="A1" s="17" t="s">
        <v>6</v>
      </c>
      <c r="B1" s="18"/>
      <c r="C1" s="18"/>
      <c r="D1" s="18"/>
      <c r="E1" s="18"/>
    </row>
    <row r="3">
      <c r="A3" s="19"/>
      <c r="B3" s="20"/>
      <c r="C3" s="20"/>
      <c r="D3" s="21" t="s">
        <v>13</v>
      </c>
      <c r="E3" s="22" t="s">
        <v>14</v>
      </c>
      <c r="F3" s="20"/>
      <c r="G3" s="20"/>
      <c r="H3" s="20" t="s">
        <v>15</v>
      </c>
      <c r="I3" s="20" t="s">
        <v>16</v>
      </c>
      <c r="J3" s="23" t="s">
        <v>17</v>
      </c>
    </row>
    <row r="4">
      <c r="A4" s="24"/>
      <c r="B4" s="20"/>
      <c r="C4" s="20"/>
      <c r="D4" s="20"/>
      <c r="E4" s="20"/>
      <c r="F4" s="20"/>
      <c r="G4" s="20"/>
      <c r="H4" s="20" t="s">
        <v>14</v>
      </c>
      <c r="I4" s="20" t="s">
        <v>18</v>
      </c>
      <c r="J4" s="25" t="s">
        <v>19</v>
      </c>
    </row>
    <row r="5">
      <c r="A5" s="24"/>
      <c r="B5" s="20"/>
      <c r="C5" s="20"/>
      <c r="D5" s="20"/>
      <c r="E5" s="20"/>
      <c r="F5" s="20"/>
      <c r="G5" s="20"/>
      <c r="H5" s="20" t="s">
        <v>20</v>
      </c>
      <c r="I5" s="20" t="s">
        <v>21</v>
      </c>
    </row>
    <row r="6">
      <c r="A6" s="20"/>
      <c r="B6" s="20"/>
      <c r="C6" s="20" t="s">
        <v>22</v>
      </c>
      <c r="D6" s="26" t="str">
        <f>IFERROR(__xludf.DUMMYFUNCTION("GOOGLETRANSLATE(C6,""en"",VLOOKUP($E$3,$H$3:$I$7,2,false))"),"Gesamtumsatz")</f>
        <v>Gesamtumsatz</v>
      </c>
      <c r="E6" s="27">
        <v>1200000.0</v>
      </c>
      <c r="F6" s="20"/>
      <c r="G6" s="20"/>
      <c r="H6" s="20" t="s">
        <v>23</v>
      </c>
      <c r="I6" s="20" t="s">
        <v>24</v>
      </c>
    </row>
    <row r="7">
      <c r="A7" s="20"/>
      <c r="B7" s="20"/>
      <c r="C7" s="20" t="s">
        <v>25</v>
      </c>
      <c r="D7" s="26" t="str">
        <f>IFERROR(__xludf.DUMMYFUNCTION("GOOGLETRANSLATE(C7,""en"",VLOOKUP($E$3,$H$3:$I$7,2,false))"),"Gesamtgewinn")</f>
        <v>Gesamtgewinn</v>
      </c>
      <c r="E7" s="27">
        <f>E6*40%</f>
        <v>480000</v>
      </c>
      <c r="F7" s="20"/>
      <c r="G7" s="20"/>
      <c r="H7" s="20" t="s">
        <v>26</v>
      </c>
      <c r="I7" s="20" t="s">
        <v>27</v>
      </c>
    </row>
    <row r="8">
      <c r="A8" s="20"/>
      <c r="B8" s="20"/>
      <c r="C8" s="20" t="s">
        <v>28</v>
      </c>
      <c r="D8" s="26" t="str">
        <f>IFERROR(__xludf.DUMMYFUNCTION("GOOGLETRANSLATE(C8,""en"",VLOOKUP($E$3,$H$3:$I$7,2,false))"),"Umsatz für nächstes Jahr")</f>
        <v>Umsatz für nächstes Jahr</v>
      </c>
      <c r="E8" s="27">
        <v>1800000.0</v>
      </c>
      <c r="F8" s="20"/>
      <c r="G8" s="20"/>
      <c r="H8" s="20"/>
      <c r="I8" s="20"/>
    </row>
    <row r="9">
      <c r="A9" s="20"/>
      <c r="B9" s="20"/>
      <c r="C9" s="20" t="s">
        <v>29</v>
      </c>
      <c r="D9" s="26" t="str">
        <f>IFERROR(__xludf.DUMMYFUNCTION("GOOGLETRANSLATE(C9,""en"",VLOOKUP($E$3,$H$3:$I$7,2,false))"),"Gewinn für nächstes Jahr")</f>
        <v>Gewinn für nächstes Jahr</v>
      </c>
      <c r="E9" s="27">
        <f>E8*45%</f>
        <v>810000</v>
      </c>
      <c r="F9" s="20"/>
      <c r="G9" s="20"/>
      <c r="H9" s="20"/>
      <c r="I9" s="20"/>
    </row>
    <row r="10">
      <c r="A10" s="20"/>
      <c r="B10" s="20"/>
      <c r="C10" s="19" t="s">
        <v>30</v>
      </c>
      <c r="D10" s="26" t="str">
        <f>IFERROR(__xludf.DUMMYFUNCTION("GOOGLETRANSLATE(C10,""en"",VLOOKUP($E$3,$H$3:$I$7,2,false))"),"Kommentare")</f>
        <v>Kommentare</v>
      </c>
      <c r="E10" s="28" t="s">
        <v>31</v>
      </c>
      <c r="F10" s="29"/>
      <c r="G10" s="20"/>
      <c r="H10" s="20" t="str">
        <f>IFERROR(__xludf.DUMMYFUNCTION("GOOGLETRANSLATE(E10, DETECTLANGUAGE(E10),""en"")"),"There were many problems")</f>
        <v>There were many problems</v>
      </c>
      <c r="I10" s="20"/>
    </row>
    <row r="11">
      <c r="A11" s="20"/>
      <c r="B11" s="20"/>
      <c r="C11" s="20"/>
      <c r="D11" s="20"/>
      <c r="E11" s="30"/>
      <c r="F11" s="31"/>
      <c r="G11" s="20"/>
      <c r="H11" s="20"/>
      <c r="I11" s="20"/>
    </row>
  </sheetData>
  <mergeCells count="1">
    <mergeCell ref="E10:F11"/>
  </mergeCells>
  <dataValidations>
    <dataValidation type="list" allowBlank="1" showErrorMessage="1" sqref="E3">
      <formula1>Translate!$H$3:$H$7</formula1>
    </dataValidation>
  </dataValidations>
  <hyperlinks>
    <hyperlink r:id="rId1" ref="J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2" max="2" width="18.0"/>
    <col customWidth="1" min="7" max="7" width="10.88"/>
  </cols>
  <sheetData>
    <row r="1">
      <c r="A1" s="17" t="s">
        <v>32</v>
      </c>
      <c r="B1" s="18"/>
      <c r="C1" s="18"/>
      <c r="D1" s="18"/>
      <c r="E1" s="18"/>
      <c r="F1" s="18"/>
    </row>
    <row r="2">
      <c r="A2" s="23" t="s">
        <v>33</v>
      </c>
    </row>
    <row r="4" ht="46.5" customHeight="1">
      <c r="A4" s="20"/>
      <c r="B4" s="32" t="str">
        <f>IMAGE("https://upload.wikimedia.org/wikipedia/commons/3/30/Google_Sheets_logo_%282014-2020%29.svg")</f>
        <v/>
      </c>
      <c r="C4" s="20"/>
      <c r="D4" s="20"/>
      <c r="E4" s="20"/>
      <c r="F4" s="20"/>
      <c r="G4" s="20"/>
      <c r="H4" s="20"/>
    </row>
    <row r="5" ht="47.25" customHeight="1">
      <c r="A5" s="33"/>
      <c r="B5" s="20"/>
      <c r="C5" s="20"/>
      <c r="D5" s="20"/>
      <c r="E5" s="20"/>
      <c r="F5" s="20"/>
    </row>
    <row r="6" ht="51.75" customHeight="1">
      <c r="A6" s="20"/>
      <c r="B6" s="34"/>
      <c r="D6" s="20"/>
      <c r="E6" s="20"/>
      <c r="F6" s="20"/>
    </row>
    <row r="7" ht="47.25" customHeight="1">
      <c r="A7" s="20"/>
      <c r="B7" s="34"/>
      <c r="D7" s="20"/>
      <c r="E7" s="20"/>
      <c r="F7" s="20"/>
    </row>
    <row r="8" ht="47.25" customHeight="1">
      <c r="A8" s="20"/>
      <c r="B8" s="34"/>
      <c r="D8" s="20"/>
      <c r="E8" s="20"/>
      <c r="F8" s="20"/>
    </row>
    <row r="9">
      <c r="A9" s="20"/>
      <c r="B9" s="20"/>
      <c r="C9" s="20"/>
      <c r="D9" s="20"/>
      <c r="E9" s="20"/>
      <c r="F9" s="20"/>
    </row>
    <row r="10">
      <c r="A10" s="20"/>
      <c r="B10" s="20"/>
      <c r="C10" s="20"/>
      <c r="D10" s="20"/>
      <c r="E10" s="20"/>
      <c r="F10" s="20"/>
    </row>
    <row r="11">
      <c r="A11" s="35"/>
      <c r="B11" s="34"/>
      <c r="C11" s="20"/>
      <c r="D11" s="20"/>
      <c r="E11" s="20"/>
      <c r="F11" s="20"/>
    </row>
    <row r="12">
      <c r="A12" s="20"/>
      <c r="B12" s="20"/>
      <c r="C12" s="20"/>
      <c r="D12" s="20"/>
      <c r="E12" s="20"/>
      <c r="F12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9.63"/>
  </cols>
  <sheetData>
    <row r="1">
      <c r="A1" s="17" t="s">
        <v>9</v>
      </c>
      <c r="B1" s="18"/>
      <c r="C1" s="18"/>
      <c r="D1" s="18"/>
      <c r="E1" s="18"/>
      <c r="F1" s="18"/>
    </row>
    <row r="4">
      <c r="A4" s="8" t="str">
        <f>IFERROR(__xludf.DUMMYFUNCTION("IMPORTHTML(""https://en.wikipedia.org/wiki/World_population"",""table"",6)"),"Rank")</f>
        <v>Rank</v>
      </c>
      <c r="B4" s="8" t="str">
        <f>IFERROR(__xludf.DUMMYFUNCTION("""COMPUTED_VALUE"""),"Country")</f>
        <v>Country</v>
      </c>
      <c r="C4" s="8" t="str">
        <f>IFERROR(__xludf.DUMMYFUNCTION("""COMPUTED_VALUE"""),"Population")</f>
        <v>Population</v>
      </c>
      <c r="D4" s="8" t="str">
        <f>IFERROR(__xludf.DUMMYFUNCTION("""COMPUTED_VALUE"""),"Area
(km2)")</f>
        <v>Area
(km2)</v>
      </c>
      <c r="E4" s="8" t="str">
        <f>IFERROR(__xludf.DUMMYFUNCTION("""COMPUTED_VALUE"""),"Density
(pop/km2)")</f>
        <v>Density
(pop/km2)</v>
      </c>
      <c r="F4" s="8"/>
      <c r="H4" s="8" t="str">
        <f>IFERROR(__xludf.DUMMYFUNCTION("IMPORTHTML(""https://www.x-rates.com/table/?from=usd&amp;amount=1"",""table"",2)"),"US Dollar")</f>
        <v>US Dollar</v>
      </c>
      <c r="I4" s="8" t="str">
        <f>IFERROR(__xludf.DUMMYFUNCTION("""COMPUTED_VALUE"""),"1.00 USD")</f>
        <v>1.00 USD</v>
      </c>
      <c r="J4" s="8" t="str">
        <f>IFERROR(__xludf.DUMMYFUNCTION("""COMPUTED_VALUE"""),"inv. 1.00 USD")</f>
        <v>inv. 1.00 USD</v>
      </c>
    </row>
    <row r="5">
      <c r="A5" s="26">
        <f>IFERROR(__xludf.DUMMYFUNCTION("""COMPUTED_VALUE"""),1.0)</f>
        <v>1</v>
      </c>
      <c r="B5" s="26" t="str">
        <f>IFERROR(__xludf.DUMMYFUNCTION("""COMPUTED_VALUE"""),"Singapore")</f>
        <v>Singapore</v>
      </c>
      <c r="C5" s="36">
        <f>IFERROR(__xludf.DUMMYFUNCTION("""COMPUTED_VALUE"""),5921231.0)</f>
        <v>5921231</v>
      </c>
      <c r="D5" s="26">
        <f>IFERROR(__xludf.DUMMYFUNCTION("""COMPUTED_VALUE"""),719.0)</f>
        <v>719</v>
      </c>
      <c r="E5" s="36">
        <f>IFERROR(__xludf.DUMMYFUNCTION("""COMPUTED_VALUE"""),8235.0)</f>
        <v>8235</v>
      </c>
      <c r="H5" s="26" t="str">
        <f>IFERROR(__xludf.DUMMYFUNCTION("""COMPUTED_VALUE"""),"Argentine Peso")</f>
        <v>Argentine Peso</v>
      </c>
      <c r="I5" s="26">
        <f>IFERROR(__xludf.DUMMYFUNCTION("""COMPUTED_VALUE"""),1400.973097)</f>
        <v>1400.973097</v>
      </c>
      <c r="J5" s="26">
        <f>IFERROR(__xludf.DUMMYFUNCTION("""COMPUTED_VALUE"""),7.14E-4)</f>
        <v>0.000714</v>
      </c>
    </row>
    <row r="6">
      <c r="A6" s="26">
        <f>IFERROR(__xludf.DUMMYFUNCTION("""COMPUTED_VALUE"""),2.0)</f>
        <v>2</v>
      </c>
      <c r="B6" s="26" t="str">
        <f>IFERROR(__xludf.DUMMYFUNCTION("""COMPUTED_VALUE"""),"Bangladesh")</f>
        <v>Bangladesh</v>
      </c>
      <c r="C6" s="36">
        <f>IFERROR(__xludf.DUMMYFUNCTION("""COMPUTED_VALUE"""),1.65650475E8)</f>
        <v>165650475</v>
      </c>
      <c r="D6" s="36">
        <f>IFERROR(__xludf.DUMMYFUNCTION("""COMPUTED_VALUE"""),148460.0)</f>
        <v>148460</v>
      </c>
      <c r="E6" s="36">
        <f>IFERROR(__xludf.DUMMYFUNCTION("""COMPUTED_VALUE"""),1116.0)</f>
        <v>1116</v>
      </c>
      <c r="H6" s="26" t="str">
        <f>IFERROR(__xludf.DUMMYFUNCTION("""COMPUTED_VALUE"""),"Australian Dollar")</f>
        <v>Australian Dollar</v>
      </c>
      <c r="I6" s="26">
        <f>IFERROR(__xludf.DUMMYFUNCTION("""COMPUTED_VALUE"""),1.394539)</f>
        <v>1.394539</v>
      </c>
      <c r="J6" s="26">
        <f>IFERROR(__xludf.DUMMYFUNCTION("""COMPUTED_VALUE"""),0.717083)</f>
        <v>0.717083</v>
      </c>
    </row>
    <row r="7">
      <c r="A7" s="26">
        <f>IFERROR(__xludf.DUMMYFUNCTION("""COMPUTED_VALUE"""),3.0)</f>
        <v>3</v>
      </c>
      <c r="B7" s="26" t="str">
        <f>IFERROR(__xludf.DUMMYFUNCTION("""COMPUTED_VALUE"""),"Palestine[note 3][103]")</f>
        <v>Palestine[note 3][103]</v>
      </c>
      <c r="C7" s="36">
        <f>IFERROR(__xludf.DUMMYFUNCTION("""COMPUTED_VALUE"""),5223000.0)</f>
        <v>5223000</v>
      </c>
      <c r="D7" s="36">
        <f>IFERROR(__xludf.DUMMYFUNCTION("""COMPUTED_VALUE"""),6025.0)</f>
        <v>6025</v>
      </c>
      <c r="E7" s="26">
        <f>IFERROR(__xludf.DUMMYFUNCTION("""COMPUTED_VALUE"""),867.0)</f>
        <v>867</v>
      </c>
      <c r="H7" s="26" t="str">
        <f>IFERROR(__xludf.DUMMYFUNCTION("""COMPUTED_VALUE"""),"Bahraini Dinar")</f>
        <v>Bahraini Dinar</v>
      </c>
      <c r="I7" s="26">
        <f>IFERROR(__xludf.DUMMYFUNCTION("""COMPUTED_VALUE"""),0.376)</f>
        <v>0.376</v>
      </c>
      <c r="J7" s="26">
        <f>IFERROR(__xludf.DUMMYFUNCTION("""COMPUTED_VALUE"""),2.659574)</f>
        <v>2.659574</v>
      </c>
    </row>
    <row r="8">
      <c r="A8" s="26">
        <f>IFERROR(__xludf.DUMMYFUNCTION("""COMPUTED_VALUE"""),4.0)</f>
        <v>4</v>
      </c>
      <c r="B8" s="26" t="str">
        <f>IFERROR(__xludf.DUMMYFUNCTION("""COMPUTED_VALUE"""),"Taiwan[note 4]")</f>
        <v>Taiwan[note 4]</v>
      </c>
      <c r="C8" s="36">
        <f>IFERROR(__xludf.DUMMYFUNCTION("""COMPUTED_VALUE"""),2.3580712E7)</f>
        <v>23580712</v>
      </c>
      <c r="D8" s="36">
        <f>IFERROR(__xludf.DUMMYFUNCTION("""COMPUTED_VALUE"""),35980.0)</f>
        <v>35980</v>
      </c>
      <c r="E8" s="26">
        <f>IFERROR(__xludf.DUMMYFUNCTION("""COMPUTED_VALUE"""),655.0)</f>
        <v>655</v>
      </c>
      <c r="H8" s="26" t="str">
        <f>IFERROR(__xludf.DUMMYFUNCTION("""COMPUTED_VALUE"""),"Botswana Pula")</f>
        <v>Botswana Pula</v>
      </c>
      <c r="I8" s="26">
        <f>IFERROR(__xludf.DUMMYFUNCTION("""COMPUTED_VALUE"""),13.450581)</f>
        <v>13.450581</v>
      </c>
      <c r="J8" s="26">
        <f>IFERROR(__xludf.DUMMYFUNCTION("""COMPUTED_VALUE"""),0.074346)</f>
        <v>0.074346</v>
      </c>
    </row>
    <row r="9">
      <c r="A9" s="26">
        <f>IFERROR(__xludf.DUMMYFUNCTION("""COMPUTED_VALUE"""),5.0)</f>
        <v>5</v>
      </c>
      <c r="B9" s="26" t="str">
        <f>IFERROR(__xludf.DUMMYFUNCTION("""COMPUTED_VALUE"""),"South Korea")</f>
        <v>South Korea</v>
      </c>
      <c r="C9" s="36">
        <f>IFERROR(__xludf.DUMMYFUNCTION("""COMPUTED_VALUE"""),5.1844834E7)</f>
        <v>51844834</v>
      </c>
      <c r="D9" s="36">
        <f>IFERROR(__xludf.DUMMYFUNCTION("""COMPUTED_VALUE"""),99720.0)</f>
        <v>99720</v>
      </c>
      <c r="E9" s="26">
        <f>IFERROR(__xludf.DUMMYFUNCTION("""COMPUTED_VALUE"""),520.0)</f>
        <v>520</v>
      </c>
      <c r="H9" s="26" t="str">
        <f>IFERROR(__xludf.DUMMYFUNCTION("""COMPUTED_VALUE"""),"Brazilian Real")</f>
        <v>Brazilian Real</v>
      </c>
      <c r="I9" s="26">
        <f>IFERROR(__xludf.DUMMYFUNCTION("""COMPUTED_VALUE"""),5.012989)</f>
        <v>5.012989</v>
      </c>
      <c r="J9" s="26">
        <f>IFERROR(__xludf.DUMMYFUNCTION("""COMPUTED_VALUE"""),0.199482)</f>
        <v>0.199482</v>
      </c>
    </row>
    <row r="10">
      <c r="A10" s="26">
        <f>IFERROR(__xludf.DUMMYFUNCTION("""COMPUTED_VALUE"""),6.0)</f>
        <v>6</v>
      </c>
      <c r="B10" s="26" t="str">
        <f>IFERROR(__xludf.DUMMYFUNCTION("""COMPUTED_VALUE"""),"Lebanon")</f>
        <v>Lebanon</v>
      </c>
      <c r="C10" s="36">
        <f>IFERROR(__xludf.DUMMYFUNCTION("""COMPUTED_VALUE"""),5296814.0)</f>
        <v>5296814</v>
      </c>
      <c r="D10" s="36">
        <f>IFERROR(__xludf.DUMMYFUNCTION("""COMPUTED_VALUE"""),10400.0)</f>
        <v>10400</v>
      </c>
      <c r="E10" s="26">
        <f>IFERROR(__xludf.DUMMYFUNCTION("""COMPUTED_VALUE"""),509.0)</f>
        <v>509</v>
      </c>
      <c r="H10" s="26" t="str">
        <f>IFERROR(__xludf.DUMMYFUNCTION("""COMPUTED_VALUE"""),"Bruneian Dollar")</f>
        <v>Bruneian Dollar</v>
      </c>
      <c r="I10" s="26">
        <f>IFERROR(__xludf.DUMMYFUNCTION("""COMPUTED_VALUE"""),1.27708)</f>
        <v>1.27708</v>
      </c>
      <c r="J10" s="26">
        <f>IFERROR(__xludf.DUMMYFUNCTION("""COMPUTED_VALUE"""),0.783036)</f>
        <v>0.783036</v>
      </c>
    </row>
    <row r="11">
      <c r="A11" s="26">
        <f>IFERROR(__xludf.DUMMYFUNCTION("""COMPUTED_VALUE"""),7.0)</f>
        <v>7</v>
      </c>
      <c r="B11" s="26" t="str">
        <f>IFERROR(__xludf.DUMMYFUNCTION("""COMPUTED_VALUE"""),"Rwanda")</f>
        <v>Rwanda</v>
      </c>
      <c r="C11" s="36">
        <f>IFERROR(__xludf.DUMMYFUNCTION("""COMPUTED_VALUE"""),1.317373E7)</f>
        <v>13173730</v>
      </c>
      <c r="D11" s="36">
        <f>IFERROR(__xludf.DUMMYFUNCTION("""COMPUTED_VALUE"""),26338.0)</f>
        <v>26338</v>
      </c>
      <c r="E11" s="26">
        <f>IFERROR(__xludf.DUMMYFUNCTION("""COMPUTED_VALUE"""),500.0)</f>
        <v>500</v>
      </c>
      <c r="H11" s="26" t="str">
        <f>IFERROR(__xludf.DUMMYFUNCTION("""COMPUTED_VALUE"""),"Canadian Dollar")</f>
        <v>Canadian Dollar</v>
      </c>
      <c r="I11" s="26">
        <f>IFERROR(__xludf.DUMMYFUNCTION("""COMPUTED_VALUE"""),1.380718)</f>
        <v>1.380718</v>
      </c>
      <c r="J11" s="26">
        <f>IFERROR(__xludf.DUMMYFUNCTION("""COMPUTED_VALUE"""),0.724261)</f>
        <v>0.724261</v>
      </c>
    </row>
    <row r="12">
      <c r="A12" s="26">
        <f>IFERROR(__xludf.DUMMYFUNCTION("""COMPUTED_VALUE"""),8.0)</f>
        <v>8</v>
      </c>
      <c r="B12" s="26" t="str">
        <f>IFERROR(__xludf.DUMMYFUNCTION("""COMPUTED_VALUE"""),"Burundi")</f>
        <v>Burundi</v>
      </c>
      <c r="C12" s="36">
        <f>IFERROR(__xludf.DUMMYFUNCTION("""COMPUTED_VALUE"""),1.2696478E7)</f>
        <v>12696478</v>
      </c>
      <c r="D12" s="36">
        <f>IFERROR(__xludf.DUMMYFUNCTION("""COMPUTED_VALUE"""),27830.0)</f>
        <v>27830</v>
      </c>
      <c r="E12" s="26">
        <f>IFERROR(__xludf.DUMMYFUNCTION("""COMPUTED_VALUE"""),456.0)</f>
        <v>456</v>
      </c>
      <c r="H12" s="26" t="str">
        <f>IFERROR(__xludf.DUMMYFUNCTION("""COMPUTED_VALUE"""),"Chilean Peso")</f>
        <v>Chilean Peso</v>
      </c>
      <c r="I12" s="26">
        <f>IFERROR(__xludf.DUMMYFUNCTION("""COMPUTED_VALUE"""),896.50279)</f>
        <v>896.50279</v>
      </c>
      <c r="J12" s="26">
        <f>IFERROR(__xludf.DUMMYFUNCTION("""COMPUTED_VALUE"""),0.001115)</f>
        <v>0.001115</v>
      </c>
    </row>
    <row r="13">
      <c r="A13" s="26">
        <f>IFERROR(__xludf.DUMMYFUNCTION("""COMPUTED_VALUE"""),9.0)</f>
        <v>9</v>
      </c>
      <c r="B13" s="26" t="str">
        <f>IFERROR(__xludf.DUMMYFUNCTION("""COMPUTED_VALUE"""),"Israel")</f>
        <v>Israel</v>
      </c>
      <c r="C13" s="36">
        <f>IFERROR(__xludf.DUMMYFUNCTION("""COMPUTED_VALUE"""),9402617.0)</f>
        <v>9402617</v>
      </c>
      <c r="D13" s="36">
        <f>IFERROR(__xludf.DUMMYFUNCTION("""COMPUTED_VALUE"""),21937.0)</f>
        <v>21937</v>
      </c>
      <c r="E13" s="26">
        <f>IFERROR(__xludf.DUMMYFUNCTION("""COMPUTED_VALUE"""),429.0)</f>
        <v>429</v>
      </c>
      <c r="H13" s="26" t="str">
        <f>IFERROR(__xludf.DUMMYFUNCTION("""COMPUTED_VALUE"""),"Chinese Yuan Renminbi")</f>
        <v>Chinese Yuan Renminbi</v>
      </c>
      <c r="I13" s="26">
        <f>IFERROR(__xludf.DUMMYFUNCTION("""COMPUTED_VALUE"""),6.78593)</f>
        <v>6.78593</v>
      </c>
      <c r="J13" s="26">
        <f>IFERROR(__xludf.DUMMYFUNCTION("""COMPUTED_VALUE"""),0.147364)</f>
        <v>0.147364</v>
      </c>
    </row>
    <row r="14">
      <c r="A14" s="26">
        <f>IFERROR(__xludf.DUMMYFUNCTION("""COMPUTED_VALUE"""),10.0)</f>
        <v>10</v>
      </c>
      <c r="B14" s="26" t="str">
        <f>IFERROR(__xludf.DUMMYFUNCTION("""COMPUTED_VALUE"""),"India")</f>
        <v>India</v>
      </c>
      <c r="C14" s="36">
        <f>IFERROR(__xludf.DUMMYFUNCTION("""COMPUTED_VALUE"""),1.389637446E9)</f>
        <v>1389637446</v>
      </c>
      <c r="D14" s="36">
        <f>IFERROR(__xludf.DUMMYFUNCTION("""COMPUTED_VALUE"""),3287263.0)</f>
        <v>3287263</v>
      </c>
      <c r="E14" s="26">
        <f>IFERROR(__xludf.DUMMYFUNCTION("""COMPUTED_VALUE"""),423.0)</f>
        <v>423</v>
      </c>
      <c r="H14" s="26" t="str">
        <f>IFERROR(__xludf.DUMMYFUNCTION("""COMPUTED_VALUE"""),"Colombian Peso")</f>
        <v>Colombian Peso</v>
      </c>
      <c r="I14" s="26">
        <f>IFERROR(__xludf.DUMMYFUNCTION("""COMPUTED_VALUE"""),3634.473603)</f>
        <v>3634.473603</v>
      </c>
      <c r="J14" s="26">
        <f>IFERROR(__xludf.DUMMYFUNCTION("""COMPUTED_VALUE"""),2.75E-4)</f>
        <v>0.000275</v>
      </c>
    </row>
    <row r="15">
      <c r="H15" s="26" t="str">
        <f>IFERROR(__xludf.DUMMYFUNCTION("""COMPUTED_VALUE"""),"Czech Koruna")</f>
        <v>Czech Koruna</v>
      </c>
      <c r="I15" s="26">
        <f>IFERROR(__xludf.DUMMYFUNCTION("""COMPUTED_VALUE"""),20.848786)</f>
        <v>20.848786</v>
      </c>
      <c r="J15" s="26">
        <f>IFERROR(__xludf.DUMMYFUNCTION("""COMPUTED_VALUE"""),0.047964)</f>
        <v>0.047964</v>
      </c>
    </row>
    <row r="16">
      <c r="H16" s="26" t="str">
        <f>IFERROR(__xludf.DUMMYFUNCTION("""COMPUTED_VALUE"""),"Danish Krone")</f>
        <v>Danish Krone</v>
      </c>
      <c r="I16" s="26">
        <f>IFERROR(__xludf.DUMMYFUNCTION("""COMPUTED_VALUE"""),6.421063)</f>
        <v>6.421063</v>
      </c>
      <c r="J16" s="26">
        <f>IFERROR(__xludf.DUMMYFUNCTION("""COMPUTED_VALUE"""),0.155737)</f>
        <v>0.155737</v>
      </c>
    </row>
    <row r="17">
      <c r="H17" s="26" t="str">
        <f>IFERROR(__xludf.DUMMYFUNCTION("""COMPUTED_VALUE"""),"Euro")</f>
        <v>Euro</v>
      </c>
      <c r="I17" s="26">
        <f>IFERROR(__xludf.DUMMYFUNCTION("""COMPUTED_VALUE"""),0.859407)</f>
        <v>0.859407</v>
      </c>
      <c r="J17" s="26">
        <f>IFERROR(__xludf.DUMMYFUNCTION("""COMPUTED_VALUE"""),1.163593)</f>
        <v>1.163593</v>
      </c>
    </row>
    <row r="18">
      <c r="H18" s="26" t="str">
        <f>IFERROR(__xludf.DUMMYFUNCTION("""COMPUTED_VALUE"""),"Hong Kong Dollar")</f>
        <v>Hong Kong Dollar</v>
      </c>
      <c r="I18" s="26">
        <f>IFERROR(__xludf.DUMMYFUNCTION("""COMPUTED_VALUE"""),7.835017)</f>
        <v>7.835017</v>
      </c>
      <c r="J18" s="26">
        <f>IFERROR(__xludf.DUMMYFUNCTION("""COMPUTED_VALUE"""),0.127632)</f>
        <v>0.127632</v>
      </c>
    </row>
    <row r="19">
      <c r="H19" s="26" t="str">
        <f>IFERROR(__xludf.DUMMYFUNCTION("""COMPUTED_VALUE"""),"Hungarian Forint")</f>
        <v>Hungarian Forint</v>
      </c>
      <c r="I19" s="26">
        <f>IFERROR(__xludf.DUMMYFUNCTION("""COMPUTED_VALUE"""),306.650565)</f>
        <v>306.650565</v>
      </c>
      <c r="J19" s="26">
        <f>IFERROR(__xludf.DUMMYFUNCTION("""COMPUTED_VALUE"""),0.003261)</f>
        <v>0.003261</v>
      </c>
    </row>
    <row r="20">
      <c r="H20" s="26" t="str">
        <f>IFERROR(__xludf.DUMMYFUNCTION("""COMPUTED_VALUE"""),"Icelandic Krona")</f>
        <v>Icelandic Krona</v>
      </c>
      <c r="I20" s="26">
        <f>IFERROR(__xludf.DUMMYFUNCTION("""COMPUTED_VALUE"""),123.428441)</f>
        <v>123.428441</v>
      </c>
      <c r="J20" s="26">
        <f>IFERROR(__xludf.DUMMYFUNCTION("""COMPUTED_VALUE"""),0.008102)</f>
        <v>0.008102</v>
      </c>
    </row>
    <row r="21">
      <c r="H21" s="26" t="str">
        <f>IFERROR(__xludf.DUMMYFUNCTION("""COMPUTED_VALUE"""),"Indian Rupee")</f>
        <v>Indian Rupee</v>
      </c>
      <c r="I21" s="26">
        <f>IFERROR(__xludf.DUMMYFUNCTION("""COMPUTED_VALUE"""),95.366922)</f>
        <v>95.366922</v>
      </c>
      <c r="J21" s="26">
        <f>IFERROR(__xludf.DUMMYFUNCTION("""COMPUTED_VALUE"""),0.010486)</f>
        <v>0.010486</v>
      </c>
    </row>
    <row r="22">
      <c r="H22" s="26" t="str">
        <f>IFERROR(__xludf.DUMMYFUNCTION("""COMPUTED_VALUE"""),"Indonesian Rupiah")</f>
        <v>Indonesian Rupiah</v>
      </c>
      <c r="I22" s="26">
        <f>IFERROR(__xludf.DUMMYFUNCTION("""COMPUTED_VALUE"""),17787.355589)</f>
        <v>17787.35559</v>
      </c>
      <c r="J22" s="26">
        <f>IFERROR(__xludf.DUMMYFUNCTION("""COMPUTED_VALUE"""),5.6E-5)</f>
        <v>0.000056</v>
      </c>
    </row>
    <row r="23">
      <c r="H23" s="26" t="str">
        <f>IFERROR(__xludf.DUMMYFUNCTION("""COMPUTED_VALUE"""),"Iranian Rial")</f>
        <v>Iranian Rial</v>
      </c>
      <c r="I23" s="26">
        <f>IFERROR(__xludf.DUMMYFUNCTION("""COMPUTED_VALUE"""),1321863.450685)</f>
        <v>1321863.451</v>
      </c>
      <c r="J23" s="26">
        <f>IFERROR(__xludf.DUMMYFUNCTION("""COMPUTED_VALUE"""),1.0E-6)</f>
        <v>0.000001</v>
      </c>
    </row>
    <row r="24">
      <c r="H24" s="26" t="str">
        <f>IFERROR(__xludf.DUMMYFUNCTION("""COMPUTED_VALUE"""),"Israeli Shekel")</f>
        <v>Israeli Shekel</v>
      </c>
      <c r="I24" s="26">
        <f>IFERROR(__xludf.DUMMYFUNCTION("""COMPUTED_VALUE"""),2.880191)</f>
        <v>2.880191</v>
      </c>
      <c r="J24" s="26">
        <f>IFERROR(__xludf.DUMMYFUNCTION("""COMPUTED_VALUE"""),0.347199)</f>
        <v>0.347199</v>
      </c>
    </row>
    <row r="25">
      <c r="H25" s="26" t="str">
        <f>IFERROR(__xludf.DUMMYFUNCTION("""COMPUTED_VALUE"""),"Japanese Yen")</f>
        <v>Japanese Yen</v>
      </c>
      <c r="I25" s="26">
        <f>IFERROR(__xludf.DUMMYFUNCTION("""COMPUTED_VALUE"""),158.935886)</f>
        <v>158.935886</v>
      </c>
      <c r="J25" s="26">
        <f>IFERROR(__xludf.DUMMYFUNCTION("""COMPUTED_VALUE"""),0.006292)</f>
        <v>0.006292</v>
      </c>
    </row>
    <row r="26">
      <c r="H26" s="26" t="str">
        <f>IFERROR(__xludf.DUMMYFUNCTION("""COMPUTED_VALUE"""),"Kazakhstani Tenge")</f>
        <v>Kazakhstani Tenge</v>
      </c>
      <c r="I26" s="26">
        <f>IFERROR(__xludf.DUMMYFUNCTION("""COMPUTED_VALUE"""),472.699285)</f>
        <v>472.699285</v>
      </c>
      <c r="J26" s="26">
        <f>IFERROR(__xludf.DUMMYFUNCTION("""COMPUTED_VALUE"""),0.002116)</f>
        <v>0.002116</v>
      </c>
    </row>
    <row r="27">
      <c r="H27" s="26" t="str">
        <f>IFERROR(__xludf.DUMMYFUNCTION("""COMPUTED_VALUE"""),"South Korean Won")</f>
        <v>South Korean Won</v>
      </c>
      <c r="I27" s="26">
        <f>IFERROR(__xludf.DUMMYFUNCTION("""COMPUTED_VALUE"""),1506.805471)</f>
        <v>1506.805471</v>
      </c>
      <c r="J27" s="26">
        <f>IFERROR(__xludf.DUMMYFUNCTION("""COMPUTED_VALUE"""),6.64E-4)</f>
        <v>0.000664</v>
      </c>
    </row>
    <row r="28">
      <c r="H28" s="26" t="str">
        <f>IFERROR(__xludf.DUMMYFUNCTION("""COMPUTED_VALUE"""),"Kuwaiti Dinar")</f>
        <v>Kuwaiti Dinar</v>
      </c>
      <c r="I28" s="26">
        <f>IFERROR(__xludf.DUMMYFUNCTION("""COMPUTED_VALUE"""),0.309176)</f>
        <v>0.309176</v>
      </c>
      <c r="J28" s="26">
        <f>IFERROR(__xludf.DUMMYFUNCTION("""COMPUTED_VALUE"""),3.2344)</f>
        <v>3.2344</v>
      </c>
    </row>
    <row r="29">
      <c r="H29" s="26" t="str">
        <f>IFERROR(__xludf.DUMMYFUNCTION("""COMPUTED_VALUE"""),"Libyan Dinar")</f>
        <v>Libyan Dinar</v>
      </c>
      <c r="I29" s="26">
        <f>IFERROR(__xludf.DUMMYFUNCTION("""COMPUTED_VALUE"""),6.36823)</f>
        <v>6.36823</v>
      </c>
      <c r="J29" s="26">
        <f>IFERROR(__xludf.DUMMYFUNCTION("""COMPUTED_VALUE"""),0.157029)</f>
        <v>0.157029</v>
      </c>
    </row>
    <row r="30">
      <c r="H30" s="26" t="str">
        <f>IFERROR(__xludf.DUMMYFUNCTION("""COMPUTED_VALUE"""),"Malaysian Ringgit")</f>
        <v>Malaysian Ringgit</v>
      </c>
      <c r="I30" s="26">
        <f>IFERROR(__xludf.DUMMYFUNCTION("""COMPUTED_VALUE"""),3.965954)</f>
        <v>3.965954</v>
      </c>
      <c r="J30" s="26">
        <f>IFERROR(__xludf.DUMMYFUNCTION("""COMPUTED_VALUE"""),0.252146)</f>
        <v>0.252146</v>
      </c>
    </row>
    <row r="31">
      <c r="H31" s="26" t="str">
        <f>IFERROR(__xludf.DUMMYFUNCTION("""COMPUTED_VALUE"""),"Mauritian Rupee")</f>
        <v>Mauritian Rupee</v>
      </c>
      <c r="I31" s="26">
        <f>IFERROR(__xludf.DUMMYFUNCTION("""COMPUTED_VALUE"""),47.272932)</f>
        <v>47.272932</v>
      </c>
      <c r="J31" s="26">
        <f>IFERROR(__xludf.DUMMYFUNCTION("""COMPUTED_VALUE"""),0.021154)</f>
        <v>0.021154</v>
      </c>
    </row>
    <row r="32">
      <c r="H32" s="26" t="str">
        <f>IFERROR(__xludf.DUMMYFUNCTION("""COMPUTED_VALUE"""),"Mexican Peso")</f>
        <v>Mexican Peso</v>
      </c>
      <c r="I32" s="26">
        <f>IFERROR(__xludf.DUMMYFUNCTION("""COMPUTED_VALUE"""),17.279893)</f>
        <v>17.279893</v>
      </c>
      <c r="J32" s="26">
        <f>IFERROR(__xludf.DUMMYFUNCTION("""COMPUTED_VALUE"""),0.057871)</f>
        <v>0.057871</v>
      </c>
    </row>
    <row r="33">
      <c r="H33" s="26" t="str">
        <f>IFERROR(__xludf.DUMMYFUNCTION("""COMPUTED_VALUE"""),"Nepalese Rupee")</f>
        <v>Nepalese Rupee</v>
      </c>
      <c r="I33" s="26">
        <f>IFERROR(__xludf.DUMMYFUNCTION("""COMPUTED_VALUE"""),152.658601)</f>
        <v>152.658601</v>
      </c>
      <c r="J33" s="26">
        <f>IFERROR(__xludf.DUMMYFUNCTION("""COMPUTED_VALUE"""),0.006551)</f>
        <v>0.006551</v>
      </c>
    </row>
    <row r="34">
      <c r="H34" s="26" t="str">
        <f>IFERROR(__xludf.DUMMYFUNCTION("""COMPUTED_VALUE"""),"New Zealand Dollar")</f>
        <v>New Zealand Dollar</v>
      </c>
      <c r="I34" s="26">
        <f>IFERROR(__xludf.DUMMYFUNCTION("""COMPUTED_VALUE"""),1.707685)</f>
        <v>1.707685</v>
      </c>
      <c r="J34" s="26">
        <f>IFERROR(__xludf.DUMMYFUNCTION("""COMPUTED_VALUE"""),0.585588)</f>
        <v>0.585588</v>
      </c>
    </row>
    <row r="35">
      <c r="H35" s="26" t="str">
        <f>IFERROR(__xludf.DUMMYFUNCTION("""COMPUTED_VALUE"""),"Norwegian Krone")</f>
        <v>Norwegian Krone</v>
      </c>
      <c r="I35" s="26">
        <f>IFERROR(__xludf.DUMMYFUNCTION("""COMPUTED_VALUE"""),9.251353)</f>
        <v>9.251353</v>
      </c>
      <c r="J35" s="26">
        <f>IFERROR(__xludf.DUMMYFUNCTION("""COMPUTED_VALUE"""),0.108092)</f>
        <v>0.108092</v>
      </c>
    </row>
    <row r="36">
      <c r="H36" s="26" t="str">
        <f>IFERROR(__xludf.DUMMYFUNCTION("""COMPUTED_VALUE"""),"Omani Rial")</f>
        <v>Omani Rial</v>
      </c>
      <c r="I36" s="26">
        <f>IFERROR(__xludf.DUMMYFUNCTION("""COMPUTED_VALUE"""),0.384758)</f>
        <v>0.384758</v>
      </c>
      <c r="J36" s="26">
        <f>IFERROR(__xludf.DUMMYFUNCTION("""COMPUTED_VALUE"""),2.599036)</f>
        <v>2.599036</v>
      </c>
    </row>
    <row r="37">
      <c r="H37" s="26" t="str">
        <f>IFERROR(__xludf.DUMMYFUNCTION("""COMPUTED_VALUE"""),"Pakistani Rupee")</f>
        <v>Pakistani Rupee</v>
      </c>
      <c r="I37" s="26">
        <f>IFERROR(__xludf.DUMMYFUNCTION("""COMPUTED_VALUE"""),278.258905)</f>
        <v>278.258905</v>
      </c>
      <c r="J37" s="26">
        <f>IFERROR(__xludf.DUMMYFUNCTION("""COMPUTED_VALUE"""),0.003594)</f>
        <v>0.003594</v>
      </c>
    </row>
    <row r="38">
      <c r="H38" s="26" t="str">
        <f>IFERROR(__xludf.DUMMYFUNCTION("""COMPUTED_VALUE"""),"Philippine Peso")</f>
        <v>Philippine Peso</v>
      </c>
      <c r="I38" s="26">
        <f>IFERROR(__xludf.DUMMYFUNCTION("""COMPUTED_VALUE"""),61.60509)</f>
        <v>61.60509</v>
      </c>
      <c r="J38" s="26">
        <f>IFERROR(__xludf.DUMMYFUNCTION("""COMPUTED_VALUE"""),0.016232)</f>
        <v>0.016232</v>
      </c>
    </row>
    <row r="39">
      <c r="H39" s="26" t="str">
        <f>IFERROR(__xludf.DUMMYFUNCTION("""COMPUTED_VALUE"""),"Polish Zloty")</f>
        <v>Polish Zloty</v>
      </c>
      <c r="I39" s="26">
        <f>IFERROR(__xludf.DUMMYFUNCTION("""COMPUTED_VALUE"""),3.636937)</f>
        <v>3.636937</v>
      </c>
      <c r="J39" s="26">
        <f>IFERROR(__xludf.DUMMYFUNCTION("""COMPUTED_VALUE"""),0.274957)</f>
        <v>0.274957</v>
      </c>
    </row>
    <row r="40">
      <c r="H40" s="26" t="str">
        <f>IFERROR(__xludf.DUMMYFUNCTION("""COMPUTED_VALUE"""),"Qatari Riyal")</f>
        <v>Qatari Riyal</v>
      </c>
      <c r="I40" s="26">
        <f>IFERROR(__xludf.DUMMYFUNCTION("""COMPUTED_VALUE"""),3.64)</f>
        <v>3.64</v>
      </c>
      <c r="J40" s="26">
        <f>IFERROR(__xludf.DUMMYFUNCTION("""COMPUTED_VALUE"""),0.274725)</f>
        <v>0.274725</v>
      </c>
    </row>
    <row r="41">
      <c r="H41" s="26" t="str">
        <f>IFERROR(__xludf.DUMMYFUNCTION("""COMPUTED_VALUE"""),"Romanian New Leu")</f>
        <v>Romanian New Leu</v>
      </c>
      <c r="I41" s="26">
        <f>IFERROR(__xludf.DUMMYFUNCTION("""COMPUTED_VALUE"""),4.50141)</f>
        <v>4.50141</v>
      </c>
      <c r="J41" s="26">
        <f>IFERROR(__xludf.DUMMYFUNCTION("""COMPUTED_VALUE"""),0.222153)</f>
        <v>0.222153</v>
      </c>
    </row>
    <row r="42">
      <c r="H42" s="26" t="str">
        <f>IFERROR(__xludf.DUMMYFUNCTION("""COMPUTED_VALUE"""),"Russian Ruble")</f>
        <v>Russian Ruble</v>
      </c>
      <c r="I42" s="26">
        <f>IFERROR(__xludf.DUMMYFUNCTION("""COMPUTED_VALUE"""),71.599679)</f>
        <v>71.599679</v>
      </c>
      <c r="J42" s="26">
        <f>IFERROR(__xludf.DUMMYFUNCTION("""COMPUTED_VALUE"""),0.013967)</f>
        <v>0.013967</v>
      </c>
    </row>
    <row r="43">
      <c r="H43" s="26" t="str">
        <f>IFERROR(__xludf.DUMMYFUNCTION("""COMPUTED_VALUE"""),"Saudi Arabian Riyal")</f>
        <v>Saudi Arabian Riyal</v>
      </c>
      <c r="I43" s="26">
        <f>IFERROR(__xludf.DUMMYFUNCTION("""COMPUTED_VALUE"""),3.75)</f>
        <v>3.75</v>
      </c>
      <c r="J43" s="26">
        <f>IFERROR(__xludf.DUMMYFUNCTION("""COMPUTED_VALUE"""),0.266667)</f>
        <v>0.266667</v>
      </c>
    </row>
    <row r="44">
      <c r="H44" s="26" t="str">
        <f>IFERROR(__xludf.DUMMYFUNCTION("""COMPUTED_VALUE"""),"Singapore Dollar")</f>
        <v>Singapore Dollar</v>
      </c>
      <c r="I44" s="26">
        <f>IFERROR(__xludf.DUMMYFUNCTION("""COMPUTED_VALUE"""),1.27708)</f>
        <v>1.27708</v>
      </c>
      <c r="J44" s="26">
        <f>IFERROR(__xludf.DUMMYFUNCTION("""COMPUTED_VALUE"""),0.783036)</f>
        <v>0.783036</v>
      </c>
    </row>
    <row r="45">
      <c r="H45" s="26" t="str">
        <f>IFERROR(__xludf.DUMMYFUNCTION("""COMPUTED_VALUE"""),"South African Rand")</f>
        <v>South African Rand</v>
      </c>
      <c r="I45" s="26">
        <f>IFERROR(__xludf.DUMMYFUNCTION("""COMPUTED_VALUE"""),16.329143)</f>
        <v>16.329143</v>
      </c>
      <c r="J45" s="26">
        <f>IFERROR(__xludf.DUMMYFUNCTION("""COMPUTED_VALUE"""),0.06124)</f>
        <v>0.06124</v>
      </c>
    </row>
    <row r="46">
      <c r="H46" s="26" t="str">
        <f>IFERROR(__xludf.DUMMYFUNCTION("""COMPUTED_VALUE"""),"Sri Lankan Rupee")</f>
        <v>Sri Lankan Rupee</v>
      </c>
      <c r="I46" s="26">
        <f>IFERROR(__xludf.DUMMYFUNCTION("""COMPUTED_VALUE"""),328.865964)</f>
        <v>328.865964</v>
      </c>
      <c r="J46" s="26">
        <f>IFERROR(__xludf.DUMMYFUNCTION("""COMPUTED_VALUE"""),0.003041)</f>
        <v>0.003041</v>
      </c>
    </row>
    <row r="47">
      <c r="H47" s="26" t="str">
        <f>IFERROR(__xludf.DUMMYFUNCTION("""COMPUTED_VALUE"""),"Swedish Krona")</f>
        <v>Swedish Krona</v>
      </c>
      <c r="I47" s="26">
        <f>IFERROR(__xludf.DUMMYFUNCTION("""COMPUTED_VALUE"""),9.2989)</f>
        <v>9.2989</v>
      </c>
      <c r="J47" s="26">
        <f>IFERROR(__xludf.DUMMYFUNCTION("""COMPUTED_VALUE"""),0.10754)</f>
        <v>0.10754</v>
      </c>
    </row>
    <row r="48">
      <c r="H48" s="26" t="str">
        <f>IFERROR(__xludf.DUMMYFUNCTION("""COMPUTED_VALUE"""),"Swiss Franc")</f>
        <v>Swiss Franc</v>
      </c>
      <c r="I48" s="26">
        <f>IFERROR(__xludf.DUMMYFUNCTION("""COMPUTED_VALUE"""),0.783008)</f>
        <v>0.783008</v>
      </c>
      <c r="J48" s="26">
        <f>IFERROR(__xludf.DUMMYFUNCTION("""COMPUTED_VALUE"""),1.277126)</f>
        <v>1.277126</v>
      </c>
    </row>
    <row r="49">
      <c r="H49" s="26" t="str">
        <f>IFERROR(__xludf.DUMMYFUNCTION("""COMPUTED_VALUE"""),"Taiwan New Dollar")</f>
        <v>Taiwan New Dollar</v>
      </c>
      <c r="I49" s="26">
        <f>IFERROR(__xludf.DUMMYFUNCTION("""COMPUTED_VALUE"""),31.491372)</f>
        <v>31.491372</v>
      </c>
      <c r="J49" s="26">
        <f>IFERROR(__xludf.DUMMYFUNCTION("""COMPUTED_VALUE"""),0.031755)</f>
        <v>0.031755</v>
      </c>
    </row>
    <row r="50">
      <c r="H50" s="26" t="str">
        <f>IFERROR(__xludf.DUMMYFUNCTION("""COMPUTED_VALUE"""),"Thai Baht")</f>
        <v>Thai Baht</v>
      </c>
      <c r="I50" s="26">
        <f>IFERROR(__xludf.DUMMYFUNCTION("""COMPUTED_VALUE"""),32.581536)</f>
        <v>32.581536</v>
      </c>
      <c r="J50" s="26">
        <f>IFERROR(__xludf.DUMMYFUNCTION("""COMPUTED_VALUE"""),0.030692)</f>
        <v>0.030692</v>
      </c>
    </row>
    <row r="51">
      <c r="H51" s="26" t="str">
        <f>IFERROR(__xludf.DUMMYFUNCTION("""COMPUTED_VALUE"""),"Trinidadian Dollar")</f>
        <v>Trinidadian Dollar</v>
      </c>
      <c r="I51" s="26">
        <f>IFERROR(__xludf.DUMMYFUNCTION("""COMPUTED_VALUE"""),6.784107)</f>
        <v>6.784107</v>
      </c>
      <c r="J51" s="26">
        <f>IFERROR(__xludf.DUMMYFUNCTION("""COMPUTED_VALUE"""),0.147403)</f>
        <v>0.147403</v>
      </c>
    </row>
    <row r="52">
      <c r="H52" s="26" t="str">
        <f>IFERROR(__xludf.DUMMYFUNCTION("""COMPUTED_VALUE"""),"Turkish Lira")</f>
        <v>Turkish Lira</v>
      </c>
      <c r="I52" s="26">
        <f>IFERROR(__xludf.DUMMYFUNCTION("""COMPUTED_VALUE"""),45.902552)</f>
        <v>45.902552</v>
      </c>
      <c r="J52" s="26">
        <f>IFERROR(__xludf.DUMMYFUNCTION("""COMPUTED_VALUE"""),0.021785)</f>
        <v>0.021785</v>
      </c>
    </row>
    <row r="53">
      <c r="H53" s="26" t="str">
        <f>IFERROR(__xludf.DUMMYFUNCTION("""COMPUTED_VALUE"""),"Emirati Dirham")</f>
        <v>Emirati Dirham</v>
      </c>
      <c r="I53" s="26">
        <f>IFERROR(__xludf.DUMMYFUNCTION("""COMPUTED_VALUE"""),3.6725)</f>
        <v>3.6725</v>
      </c>
      <c r="J53" s="26">
        <f>IFERROR(__xludf.DUMMYFUNCTION("""COMPUTED_VALUE"""),0.272294)</f>
        <v>0.272294</v>
      </c>
    </row>
    <row r="54">
      <c r="H54" s="26" t="str">
        <f>IFERROR(__xludf.DUMMYFUNCTION("""COMPUTED_VALUE"""),"British Pound")</f>
        <v>British Pound</v>
      </c>
      <c r="I54" s="26">
        <f>IFERROR(__xludf.DUMMYFUNCTION("""COMPUTED_VALUE"""),0.741371)</f>
        <v>0.741371</v>
      </c>
      <c r="J54" s="26">
        <f>IFERROR(__xludf.DUMMYFUNCTION("""COMPUTED_VALUE"""),1.348853)</f>
        <v>1.348853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8.63"/>
  </cols>
  <sheetData>
    <row r="1">
      <c r="A1" s="17" t="s">
        <v>10</v>
      </c>
      <c r="B1" s="18"/>
      <c r="C1" s="18"/>
      <c r="D1" s="18"/>
      <c r="E1" s="18"/>
      <c r="F1" s="18"/>
    </row>
    <row r="2">
      <c r="A2" s="23" t="s">
        <v>34</v>
      </c>
    </row>
    <row r="4">
      <c r="A4" s="23" t="s">
        <v>35</v>
      </c>
      <c r="B4" s="23" t="s">
        <v>36</v>
      </c>
      <c r="E4" s="23" t="s">
        <v>37</v>
      </c>
      <c r="F4" s="25" t="s">
        <v>38</v>
      </c>
    </row>
    <row r="5">
      <c r="A5" s="23" t="s">
        <v>39</v>
      </c>
      <c r="B5" s="23" t="s">
        <v>40</v>
      </c>
    </row>
    <row r="6">
      <c r="A6" s="23" t="s">
        <v>41</v>
      </c>
      <c r="B6" s="23" t="s">
        <v>42</v>
      </c>
    </row>
    <row r="7">
      <c r="A7" s="23" t="s">
        <v>43</v>
      </c>
      <c r="B7" s="23" t="s">
        <v>44</v>
      </c>
    </row>
    <row r="8">
      <c r="A8" s="23" t="s">
        <v>45</v>
      </c>
      <c r="B8" s="23" t="s">
        <v>46</v>
      </c>
    </row>
    <row r="9">
      <c r="A9" s="23" t="s">
        <v>47</v>
      </c>
      <c r="B9" s="23" t="s">
        <v>48</v>
      </c>
    </row>
    <row r="11">
      <c r="A11" s="7" t="s">
        <v>49</v>
      </c>
      <c r="C11" s="7" t="s">
        <v>50</v>
      </c>
      <c r="K11" s="7" t="s">
        <v>51</v>
      </c>
    </row>
    <row r="12">
      <c r="A12" s="26" t="str">
        <f>IFERROR(__xludf.DUMMYFUNCTION("IMPORTXML(""https://www.medicalnewstoday.com/articles/324044"",""//h2"")"),"1. Oily fish")</f>
        <v>1. Oily fish</v>
      </c>
      <c r="C12" s="37" t="str">
        <f>IFERROR(__xludf.DUMMYFUNCTION("IMPORTXML(""https://en.wikipedia.org/wiki/Google_Sheets"",""//*[@class='external text']/@href"")"),"https://google.com/sheets")</f>
        <v>https://google.com/sheets</v>
      </c>
      <c r="K12" s="26" t="str">
        <f>IFERROR(__xludf.DUMMYFUNCTION("if(M12, IMPORTXML(""https://www.x-rates.com/table/?from=usd&amp;amount=1"",""//*[@id='ratesTrends']/li""),"""")"),"EUR/USD")</f>
        <v>EUR/USD</v>
      </c>
      <c r="L12" s="38">
        <f>IFERROR(__xludf.DUMMYFUNCTION("""COMPUTED_VALUE"""),-8.74E-5)</f>
        <v>-0.0000874</v>
      </c>
      <c r="M12" s="23" t="b">
        <v>1</v>
      </c>
    </row>
    <row r="13">
      <c r="A13" s="26" t="str">
        <f>IFERROR(__xludf.DUMMYFUNCTION("""COMPUTED_VALUE"""),"2. Dark chocolate")</f>
        <v>2. Dark chocolate</v>
      </c>
      <c r="C13" s="37" t="str">
        <f>IFERROR(__xludf.DUMMYFUNCTION("""COMPUTED_VALUE"""),"https://github.com/googleworkspace")</f>
        <v>https://github.com/googleworkspace</v>
      </c>
      <c r="K13" s="26" t="str">
        <f>IFERROR(__xludf.DUMMYFUNCTION("""COMPUTED_VALUE"""),"USD/JPY")</f>
        <v>USD/JPY</v>
      </c>
      <c r="L13" s="26" t="str">
        <f>IFERROR(__xludf.DUMMYFUNCTION("""COMPUTED_VALUE"""),"+0.02877%")</f>
        <v>+0.02877%</v>
      </c>
    </row>
    <row r="14">
      <c r="A14" s="26" t="str">
        <f>IFERROR(__xludf.DUMMYFUNCTION("""COMPUTED_VALUE"""),"3. Berries")</f>
        <v>3. Berries</v>
      </c>
      <c r="C14" s="37" t="str">
        <f>IFERROR(__xludf.DUMMYFUNCTION("""COMPUTED_VALUE"""),"https://script.google.com")</f>
        <v>https://script.google.com</v>
      </c>
      <c r="K14" s="26" t="str">
        <f>IFERROR(__xludf.DUMMYFUNCTION("""COMPUTED_VALUE"""),"GBP/USD")</f>
        <v>GBP/USD</v>
      </c>
      <c r="L14" s="26" t="str">
        <f>IFERROR(__xludf.DUMMYFUNCTION("""COMPUTED_VALUE"""),"+0.09697%")</f>
        <v>+0.09697%</v>
      </c>
    </row>
    <row r="15">
      <c r="A15" s="26" t="str">
        <f>IFERROR(__xludf.DUMMYFUNCTION("""COMPUTED_VALUE"""),"4. Nuts and seeds")</f>
        <v>4. Nuts and seeds</v>
      </c>
      <c r="C15" s="37" t="str">
        <f>IFERROR(__xludf.DUMMYFUNCTION("""COMPUTED_VALUE"""),"https://github.com/googleworkspace")</f>
        <v>https://github.com/googleworkspace</v>
      </c>
      <c r="K15" s="26" t="str">
        <f>IFERROR(__xludf.DUMMYFUNCTION("""COMPUTED_VALUE"""),"USD/CHF")</f>
        <v>USD/CHF</v>
      </c>
      <c r="L15" s="26" t="str">
        <f>IFERROR(__xludf.DUMMYFUNCTION("""COMPUTED_VALUE"""),"+0.09318%")</f>
        <v>+0.09318%</v>
      </c>
    </row>
    <row r="16">
      <c r="A16" s="26" t="str">
        <f>IFERROR(__xludf.DUMMYFUNCTION("""COMPUTED_VALUE"""),"5. Whole grains")</f>
        <v>5. Whole grains</v>
      </c>
      <c r="C16" s="37" t="str">
        <f>IFERROR(__xludf.DUMMYFUNCTION("""COMPUTED_VALUE"""),"https://chromewebstore.google.com/detail/ghbmnnjooekpmoecnnnilnnbdlolhkhi")</f>
        <v>https://chromewebstore.google.com/detail/ghbmnnjooekpmoecnnnilnnbdlolhkhi</v>
      </c>
      <c r="K16" s="26" t="str">
        <f>IFERROR(__xludf.DUMMYFUNCTION("""COMPUTED_VALUE"""),"USD/CAD")</f>
        <v>USD/CAD</v>
      </c>
      <c r="L16" s="38">
        <f>IFERROR(__xludf.DUMMYFUNCTION("""COMPUTED_VALUE"""),-1.484E-4)</f>
        <v>-0.0001484</v>
      </c>
    </row>
    <row r="17">
      <c r="A17" s="26" t="str">
        <f>IFERROR(__xludf.DUMMYFUNCTION("""COMPUTED_VALUE"""),"6. Coffee")</f>
        <v>6. Coffee</v>
      </c>
      <c r="C17" s="37" t="str">
        <f>IFERROR(__xludf.DUMMYFUNCTION("""COMPUTED_VALUE"""),"https://play.google.com/store/apps/details?id=com.google.android.apps.docs.editors.docs")</f>
        <v>https://play.google.com/store/apps/details?id=com.google.android.apps.docs.editors.docs</v>
      </c>
      <c r="K17" s="26" t="str">
        <f>IFERROR(__xludf.DUMMYFUNCTION("""COMPUTED_VALUE"""),"EUR/JPY")</f>
        <v>EUR/JPY</v>
      </c>
      <c r="L17" s="26" t="str">
        <f>IFERROR(__xludf.DUMMYFUNCTION("""COMPUTED_VALUE"""),"+0.02003%")</f>
        <v>+0.02003%</v>
      </c>
    </row>
    <row r="18">
      <c r="A18" s="26" t="str">
        <f>IFERROR(__xludf.DUMMYFUNCTION("""COMPUTED_VALUE"""),"7. Avocados")</f>
        <v>7. Avocados</v>
      </c>
      <c r="C18" s="37" t="str">
        <f>IFERROR(__xludf.DUMMYFUNCTION("""COMPUTED_VALUE"""),"https://play.google.com/store/apps/details?id=com.google.android.apps.docs.editors.slides")</f>
        <v>https://play.google.com/store/apps/details?id=com.google.android.apps.docs.editors.slides</v>
      </c>
      <c r="K18" s="26" t="str">
        <f>IFERROR(__xludf.DUMMYFUNCTION("""COMPUTED_VALUE"""),"AUD/USD")</f>
        <v>AUD/USD</v>
      </c>
      <c r="L18" s="26" t="str">
        <f>IFERROR(__xludf.DUMMYFUNCTION("""COMPUTED_VALUE"""),"+0.13549%")</f>
        <v>+0.13549%</v>
      </c>
    </row>
    <row r="19">
      <c r="A19" s="26" t="str">
        <f>IFERROR(__xludf.DUMMYFUNCTION("""COMPUTED_VALUE"""),"8. Peanuts")</f>
        <v>8. Peanuts</v>
      </c>
      <c r="C19" s="37" t="str">
        <f>IFERROR(__xludf.DUMMYFUNCTION("""COMPUTED_VALUE"""),"https://play.google.com/store/apps/details?id=com.google.android.apps.docs.editors.sheets")</f>
        <v>https://play.google.com/store/apps/details?id=com.google.android.apps.docs.editors.sheets</v>
      </c>
      <c r="K19" s="26" t="str">
        <f>IFERROR(__xludf.DUMMYFUNCTION("""COMPUTED_VALUE"""),"CNY/USD")</f>
        <v>CNY/USD</v>
      </c>
      <c r="L19" s="38">
        <f>IFERROR(__xludf.DUMMYFUNCTION("""COMPUTED_VALUE"""),-4.731E-4)</f>
        <v>-0.0004731</v>
      </c>
    </row>
    <row r="20">
      <c r="A20" s="26" t="str">
        <f>IFERROR(__xludf.DUMMYFUNCTION("""COMPUTED_VALUE"""),"9. Eggs")</f>
        <v>9. Eggs</v>
      </c>
      <c r="C20" s="37" t="str">
        <f>IFERROR(__xludf.DUMMYFUNCTION("""COMPUTED_VALUE"""),"https://www.apkmirror.com/apk/google-inc/docs/google-docs-1-26-201-00-release/")</f>
        <v>https://www.apkmirror.com/apk/google-inc/docs/google-docs-1-26-201-00-release/</v>
      </c>
    </row>
    <row r="21">
      <c r="A21" s="26" t="str">
        <f>IFERROR(__xludf.DUMMYFUNCTION("""COMPUTED_VALUE"""),"10. Broccoli")</f>
        <v>10. Broccoli</v>
      </c>
      <c r="C21" s="37" t="str">
        <f>IFERROR(__xludf.DUMMYFUNCTION("""COMPUTED_VALUE"""),"https://www.apkmirror.com/apk/google-inc/slides/google-slides-1-26-201-00-release/")</f>
        <v>https://www.apkmirror.com/apk/google-inc/slides/google-slides-1-26-201-00-release/</v>
      </c>
    </row>
    <row r="22">
      <c r="A22" s="26" t="str">
        <f>IFERROR(__xludf.DUMMYFUNCTION("""COMPUTED_VALUE"""),"11. Kale")</f>
        <v>11. Kale</v>
      </c>
      <c r="C22" s="37" t="str">
        <f>IFERROR(__xludf.DUMMYFUNCTION("""COMPUTED_VALUE"""),"https://www.apkmirror.com/apk/google-inc/sheets/google-sheets-1-26-201-02-release/")</f>
        <v>https://www.apkmirror.com/apk/google-inc/sheets/google-sheets-1-26-201-02-release/</v>
      </c>
    </row>
    <row r="23">
      <c r="A23" s="26" t="str">
        <f>IFERROR(__xludf.DUMMYFUNCTION("""COMPUTED_VALUE"""),"12. Soy products")</f>
        <v>12. Soy products</v>
      </c>
      <c r="C23" s="37" t="str">
        <f>IFERROR(__xludf.DUMMYFUNCTION("""COMPUTED_VALUE"""),"https://apps.apple.com/us/app/google-docs/id842842640")</f>
        <v>https://apps.apple.com/us/app/google-docs/id842842640</v>
      </c>
    </row>
    <row r="24">
      <c r="A24" s="26" t="str">
        <f>IFERROR(__xludf.DUMMYFUNCTION("""COMPUTED_VALUE"""),"Supplements for brain function")</f>
        <v>Supplements for brain function</v>
      </c>
      <c r="C24" s="37" t="str">
        <f>IFERROR(__xludf.DUMMYFUNCTION("""COMPUTED_VALUE"""),"https://apps.apple.com/us/app/google-slides/id879478102")</f>
        <v>https://apps.apple.com/us/app/google-slides/id879478102</v>
      </c>
    </row>
    <row r="25">
      <c r="A25" s="26" t="str">
        <f>IFERROR(__xludf.DUMMYFUNCTION("""COMPUTED_VALUE"""),"Summary")</f>
        <v>Summary</v>
      </c>
      <c r="C25" s="37" t="str">
        <f>IFERROR(__xludf.DUMMYFUNCTION("""COMPUTED_VALUE"""),"https://apps.apple.com/us/app/google-sheets/id842849113")</f>
        <v>https://apps.apple.com/us/app/google-sheets/id842849113</v>
      </c>
    </row>
    <row r="26">
      <c r="A26" s="26" t="str">
        <f>IFERROR(__xludf.DUMMYFUNCTION("""COMPUTED_VALUE"""),"Latest news")</f>
        <v>Latest news</v>
      </c>
      <c r="C26" s="37" t="str">
        <f>IFERROR(__xludf.DUMMYFUNCTION("""COMPUTED_VALUE"""),"https://drive.googleblog.com/2013/06/18-new-languages-for-drive-docs-sheets.html")</f>
        <v>https://drive.googleblog.com/2013/06/18-new-languages-for-drive-docs-sheets.html</v>
      </c>
    </row>
    <row r="27">
      <c r="C27" s="37" t="str">
        <f>IFERROR(__xludf.DUMMYFUNCTION("""COMPUTED_VALUE"""),"https://gsuiteupdates.googleblog.com/2019/04/office-editing.html")</f>
        <v>https://gsuiteupdates.googleblog.com/2019/04/office-editing.html</v>
      </c>
    </row>
    <row r="28">
      <c r="C28" s="37" t="str">
        <f>IFERROR(__xludf.DUMMYFUNCTION("""COMPUTED_VALUE"""),"https://njtechweekly.com/at-madison-meetup-njs-rochelle-talks-xl2web-acquisition-by-google/")</f>
        <v>https://njtechweekly.com/at-madison-meetup-njs-rochelle-talks-xl2web-acquisition-by-google/</v>
      </c>
    </row>
    <row r="29">
      <c r="C29" s="37" t="str">
        <f>IFERROR(__xludf.DUMMYFUNCTION("""COMPUTED_VALUE"""),"https://www.zdnet.com/article/googles-40-acquisitions-in-2010-what-about-integration/")</f>
        <v>https://www.zdnet.com/article/googles-40-acquisitions-in-2010-what-about-integration/</v>
      </c>
    </row>
    <row r="30">
      <c r="C30" s="37" t="str">
        <f>IFERROR(__xludf.DUMMYFUNCTION("""COMPUTED_VALUE"""),"https://googleblog.blogspot.no/2006/06/its-nice-to-share.html")</f>
        <v>https://googleblog.blogspot.no/2006/06/its-nice-to-share.html</v>
      </c>
    </row>
    <row r="31">
      <c r="C31" s="37" t="str">
        <f>IFERROR(__xludf.DUMMYFUNCTION("""COMPUTED_VALUE"""),"http://googlepress.blogspot.no/2006/06/google-announces-limited-test-on-google_06.html")</f>
        <v>http://googlepress.blogspot.no/2006/06/google-announces-limited-test-on-google_06.html</v>
      </c>
    </row>
    <row r="32">
      <c r="C32" s="37" t="str">
        <f>IFERROR(__xludf.DUMMYFUNCTION("""COMPUTED_VALUE"""),"http://googlepress.blogspot.no/2006/10/google-announces-google-docs_11.html")</f>
        <v>http://googlepress.blogspot.no/2006/10/google-announces-google-docs_11.html</v>
      </c>
    </row>
    <row r="33">
      <c r="C33" s="37" t="str">
        <f>IFERROR(__xludf.DUMMYFUNCTION("""COMPUTED_VALUE"""),"http://phandroid.com/2010/03/05/google-buys-docverse-for-office-collaboration-chrome-android-wave-implications/")</f>
        <v>http://phandroid.com/2010/03/05/google-buys-docverse-for-office-collaboration-chrome-android-wave-implications/</v>
      </c>
    </row>
    <row r="34">
      <c r="C34" s="37" t="str">
        <f>IFERROR(__xludf.DUMMYFUNCTION("""COMPUTED_VALUE"""),"https://drive.googleblog.com/2010/04/a-rebuilt-more-real-time-google.html")</f>
        <v>https://drive.googleblog.com/2010/04/a-rebuilt-more-real-time-google.html</v>
      </c>
    </row>
    <row r="35">
      <c r="C35" s="37" t="str">
        <f>IFERROR(__xludf.DUMMYFUNCTION("""COMPUTED_VALUE"""),"https://googleblog.blogspot.no/2012/06/google-quickoffice-get-more-done.html")</f>
        <v>https://googleblog.blogspot.no/2012/06/google-quickoffice-get-more-done.html</v>
      </c>
    </row>
    <row r="36">
      <c r="C36" s="37" t="str">
        <f>IFERROR(__xludf.DUMMYFUNCTION("""COMPUTED_VALUE"""),"https://thenextweb.com/google/2012/10/23/google-drive-apps-renamed-docs-sheets-and-slides-now-available-in-the-chrome-web-store/")</f>
        <v>https://thenextweb.com/google/2012/10/23/google-drive-apps-renamed-docs-sheets-and-slides-now-available-in-the-chrome-web-store/</v>
      </c>
    </row>
    <row r="37">
      <c r="C37" s="37" t="str">
        <f>IFERROR(__xludf.DUMMYFUNCTION("""COMPUTED_VALUE"""),"https://support.google.com/docs/answer/2375082")</f>
        <v>https://support.google.com/docs/answer/2375082</v>
      </c>
    </row>
    <row r="38">
      <c r="C38" s="37" t="str">
        <f>IFERROR(__xludf.DUMMYFUNCTION("""COMPUTED_VALUE"""),"https://gsuiteupdates.googleblog.com/2014/06/dedicated-desktop-home-pages-for-google.html")</f>
        <v>https://gsuiteupdates.googleblog.com/2014/06/dedicated-desktop-home-pages-for-google.html</v>
      </c>
    </row>
    <row r="39">
      <c r="C39" s="37" t="str">
        <f>IFERROR(__xludf.DUMMYFUNCTION("""COMPUTED_VALUE"""),"https://googleblog.blogspot.com/2014/04/new-mobile-apps-for-docs-sheets-and.html")</f>
        <v>https://googleblog.blogspot.com/2014/04/new-mobile-apps-for-docs-sheets-and.html</v>
      </c>
    </row>
    <row r="40">
      <c r="C40" s="37" t="str">
        <f>IFERROR(__xludf.DUMMYFUNCTION("""COMPUTED_VALUE"""),"https://drive.googleblog.com/2014/06/newdocssheetsslides.html")</f>
        <v>https://drive.googleblog.com/2014/06/newdocssheetsslides.html</v>
      </c>
    </row>
    <row r="41">
      <c r="C41" s="37" t="str">
        <f>IFERROR(__xludf.DUMMYFUNCTION("""COMPUTED_VALUE"""),"https://gsuiteupdates.googleblog.com/2014/08/new-google-slides-docs-and-sheets-apps.html")</f>
        <v>https://gsuiteupdates.googleblog.com/2014/08/new-google-slides-docs-and-sheets-apps.html</v>
      </c>
    </row>
    <row r="42">
      <c r="C42" s="37" t="str">
        <f>IFERROR(__xludf.DUMMYFUNCTION("""COMPUTED_VALUE"""),"https://gsuiteupdates.googleblog.com/2015/07/a-new-look-for-google-docs-sheets-and.html")</f>
        <v>https://gsuiteupdates.googleblog.com/2015/07/a-new-look-for-google-docs-sheets-and.html</v>
      </c>
    </row>
    <row r="43">
      <c r="C43" s="37" t="str">
        <f>IFERROR(__xludf.DUMMYFUNCTION("""COMPUTED_VALUE"""),"https://web.archive.org/web/20120810230818/http://news.cnet.com/8301-1001_3-10314002-92.html")</f>
        <v>https://web.archive.org/web/20120810230818/http://news.cnet.com/8301-1001_3-10314002-92.html</v>
      </c>
    </row>
    <row r="44">
      <c r="C44" s="37" t="str">
        <f>IFERROR(__xludf.DUMMYFUNCTION("""COMPUTED_VALUE"""),"https://news.cnet.com/8301-1001_3-10314002-92.html")</f>
        <v>https://news.cnet.com/8301-1001_3-10314002-92.html</v>
      </c>
    </row>
    <row r="45">
      <c r="C45" s="37" t="str">
        <f>IFERROR(__xludf.DUMMYFUNCTION("""COMPUTED_VALUE"""),"https://support.google.com/docs/answer/190843")</f>
        <v>https://support.google.com/docs/answer/190843</v>
      </c>
    </row>
    <row r="46">
      <c r="C46" s="37" t="str">
        <f>IFERROR(__xludf.DUMMYFUNCTION("""COMPUTED_VALUE"""),"https://support.google.com/a/users/answer/9308757?hl=en")</f>
        <v>https://support.google.com/a/users/answer/9308757?hl=en</v>
      </c>
    </row>
    <row r="47">
      <c r="C47" s="37" t="str">
        <f>IFERROR(__xludf.DUMMYFUNCTION("""COMPUTED_VALUE"""),"https://docs.google.com/spreadsheets/d/e/2PACX-1vRMUG7FvU_k5OOtiXGZ69bCd4xHjdQEaWflhE9NZfKjD1z0fgJ4g_2EcY_g4acoL749ZgfPrBsQad9F/pubhtml")</f>
        <v>https://docs.google.com/spreadsheets/d/e/2PACX-1vRMUG7FvU_k5OOtiXGZ69bCd4xHjdQEaWflhE9NZfKjD1z0fgJ4g_2EcY_g4acoL749ZgfPrBsQad9F/pubhtml</v>
      </c>
    </row>
    <row r="48">
      <c r="C48" s="37" t="str">
        <f>IFERROR(__xludf.DUMMYFUNCTION("""COMPUTED_VALUE"""),"https://docs.googleblog.com/2016/09/ExploreinDocsSheetsSlides.html")</f>
        <v>https://docs.googleblog.com/2016/09/ExploreinDocsSheetsSlides.html</v>
      </c>
    </row>
    <row r="49">
      <c r="C49" s="37" t="str">
        <f>IFERROR(__xludf.DUMMYFUNCTION("""COMPUTED_VALUE"""),"https://web.archive.org/web/20161227040046/http://venturebeat.com/2016/09/29/google-updates-calendar-drive-docs-sheets-and-slides-with-machine-intelligence-features/")</f>
        <v>https://web.archive.org/web/20161227040046/http://venturebeat.com/2016/09/29/google-updates-calendar-drive-docs-sheets-and-slides-with-machine-intelligence-features/</v>
      </c>
    </row>
    <row r="50">
      <c r="C50" s="37" t="str">
        <f>IFERROR(__xludf.DUMMYFUNCTION("""COMPUTED_VALUE"""),"https://venturebeat.com/2016/09/29/google-updates-calendar-drive-docs-sheets-and-slides-with-machine-intelligence-features/")</f>
        <v>https://venturebeat.com/2016/09/29/google-updates-calendar-drive-docs-sheets-and-slides-with-machine-intelligence-features/</v>
      </c>
    </row>
    <row r="51">
      <c r="C51" s="37" t="str">
        <f>IFERROR(__xludf.DUMMYFUNCTION("""COMPUTED_VALUE"""),"http://www.techradar.com/news/software/google-wants-to-better-challenge-microsoft-office-with-these-new-features-1329658")</f>
        <v>http://www.techradar.com/news/software/google-wants-to-better-challenge-microsoft-office-with-these-new-features-1329658</v>
      </c>
    </row>
    <row r="52">
      <c r="C52" s="37" t="str">
        <f>IFERROR(__xludf.DUMMYFUNCTION("""COMPUTED_VALUE"""),"https://techcrunch.com/2017/06/01/google-sheets-now-uses-machine-learning-to-automatically-visualize-your-data/")</f>
        <v>https://techcrunch.com/2017/06/01/google-sheets-now-uses-machine-learning-to-automatically-visualize-your-data/</v>
      </c>
    </row>
    <row r="53">
      <c r="C53" s="37" t="str">
        <f>IFERROR(__xludf.DUMMYFUNCTION("""COMPUTED_VALUE"""),"https://www.theverge.com/2017/6/1/15724970/google-sheets-update-charts-explore-sync-data")</f>
        <v>https://www.theverge.com/2017/6/1/15724970/google-sheets-update-charts-explore-sync-data</v>
      </c>
    </row>
    <row r="54">
      <c r="C54" s="37" t="str">
        <f>IFERROR(__xludf.DUMMYFUNCTION("""COMPUTED_VALUE"""),"https://techcrunch.com/2017/12/06/latest-google-sheets-release-adds-smarts-to-pivot-table-creation/")</f>
        <v>https://techcrunch.com/2017/12/06/latest-google-sheets-release-adds-smarts-to-pivot-table-creation/</v>
      </c>
    </row>
    <row r="55">
      <c r="C55" s="37" t="str">
        <f>IFERROR(__xludf.DUMMYFUNCTION("""COMPUTED_VALUE"""),"https://www.zdnet.com/article/google-brings-new-ai-machine-learning-features-to-sheets/")</f>
        <v>https://www.zdnet.com/article/google-brings-new-ai-machine-learning-features-to-sheets/</v>
      </c>
    </row>
    <row r="56">
      <c r="C56" s="37" t="str">
        <f>IFERROR(__xludf.DUMMYFUNCTION("""COMPUTED_VALUE"""),"https://www.blog.google/products/g-suite/five-new-ways-reach-your-goals-faster-g-suite/")</f>
        <v>https://www.blog.google/products/g-suite/five-new-ways-reach-your-goals-faster-g-suite/</v>
      </c>
    </row>
    <row r="57">
      <c r="C57" s="37" t="str">
        <f>IFERROR(__xludf.DUMMYFUNCTION("""COMPUTED_VALUE"""),"https://drive.googleblog.com/2014/03/add-ons.html")</f>
        <v>https://drive.googleblog.com/2014/03/add-ons.html</v>
      </c>
    </row>
    <row r="58">
      <c r="C58" s="37" t="str">
        <f>IFERROR(__xludf.DUMMYFUNCTION("""COMPUTED_VALUE"""),"https://support.google.com/docs/answer/14356410?hl=en")</f>
        <v>https://support.google.com/docs/answer/14356410?hl=en</v>
      </c>
    </row>
    <row r="59">
      <c r="C59" s="37" t="str">
        <f>IFERROR(__xludf.DUMMYFUNCTION("""COMPUTED_VALUE"""),"https://support.google.com/drive/answer/2375012")</f>
        <v>https://support.google.com/drive/answer/2375012</v>
      </c>
    </row>
    <row r="60">
      <c r="C60" s="37" t="str">
        <f>IFERROR(__xludf.DUMMYFUNCTION("""COMPUTED_VALUE"""),"https://support.google.com/drive/answer/2375012?co=GENIE.Platform%3DAndroid&amp;oco=1")</f>
        <v>https://support.google.com/drive/answer/2375012?co=GENIE.Platform%3DAndroid&amp;oco=1</v>
      </c>
    </row>
    <row r="61">
      <c r="C61" s="37" t="str">
        <f>IFERROR(__xludf.DUMMYFUNCTION("""COMPUTED_VALUE"""),"https://support.google.com/drive/answer/2375012?co=GENIE.Platform%3DiOS&amp;oco=1")</f>
        <v>https://support.google.com/drive/answer/2375012?co=GENIE.Platform%3DiOS&amp;oco=1</v>
      </c>
    </row>
    <row r="62">
      <c r="C62" s="37" t="str">
        <f>IFERROR(__xludf.DUMMYFUNCTION("""COMPUTED_VALUE"""),"https://support.google.com/docs/answer/6055139")</f>
        <v>https://support.google.com/docs/answer/6055139</v>
      </c>
    </row>
    <row r="63">
      <c r="C63" s="37" t="str">
        <f>IFERROR(__xludf.DUMMYFUNCTION("""COMPUTED_VALUE"""),"https://support.google.com/drive/answer/37603")</f>
        <v>https://support.google.com/drive/answer/37603</v>
      </c>
    </row>
    <row r="64">
      <c r="C64" s="37" t="str">
        <f>IFERROR(__xludf.DUMMYFUNCTION("""COMPUTED_VALUE"""),"https://support.google.com/docs/answer/97447")</f>
        <v>https://support.google.com/docs/answer/97447</v>
      </c>
    </row>
    <row r="65">
      <c r="C65" s="37" t="str">
        <f>IFERROR(__xludf.DUMMYFUNCTION("""COMPUTED_VALUE"""),"https://gsuite.google.com/pricing.html")</f>
        <v>https://gsuite.google.com/pricing.html</v>
      </c>
    </row>
    <row r="66">
      <c r="C66" s="37" t="str">
        <f>IFERROR(__xludf.DUMMYFUNCTION("""COMPUTED_VALUE"""),"https://developers.google.com/chart/interactive/docs/spreadsheets")</f>
        <v>https://developers.google.com/chart/interactive/docs/spreadsheets</v>
      </c>
    </row>
    <row r="67">
      <c r="C67" s="37" t="str">
        <f>IFERROR(__xludf.DUMMYFUNCTION("""COMPUTED_VALUE"""),"https://gsuite.google.com/marketplace/app/wikipedia_and_wikidata_tools/595109124715?pann=cwsdp&amp;hl=en")</f>
        <v>https://gsuite.google.com/marketplace/app/wikipedia_and_wikidata_tools/595109124715?pann=cwsdp&amp;hl=en</v>
      </c>
    </row>
    <row r="68">
      <c r="C68" s="37" t="str">
        <f>IFERROR(__xludf.DUMMYFUNCTION("""COMPUTED_VALUE"""),"https://support.google.com/docs/answer/161768")</f>
        <v>https://support.google.com/docs/answer/161768</v>
      </c>
    </row>
    <row r="69">
      <c r="C69" s="37" t="str">
        <f>IFERROR(__xludf.DUMMYFUNCTION("""COMPUTED_VALUE"""),"https://chrome.google.com/webstore/detail/office-editing-for-docs-s/gbkeegbaiigmenfmjfclcdgdpimamgkj")</f>
        <v>https://chrome.google.com/webstore/detail/office-editing-for-docs-s/gbkeegbaiigmenfmjfclcdgdpimamgkj</v>
      </c>
    </row>
    <row r="70">
      <c r="C70" s="37" t="str">
        <f>IFERROR(__xludf.DUMMYFUNCTION("""COMPUTED_VALUE"""),"https://support.google.com/a/answer/9306273")</f>
        <v>https://support.google.com/a/answer/9306273</v>
      </c>
    </row>
    <row r="71">
      <c r="C71" s="37" t="str">
        <f>IFERROR(__xludf.DUMMYFUNCTION("""COMPUTED_VALUE"""),"https://drive.googleblog.com/2011/02/google-cloud-connect-for-microsoft.html")</f>
        <v>https://drive.googleblog.com/2011/02/google-cloud-connect-for-microsoft.html</v>
      </c>
    </row>
    <row r="72">
      <c r="C72" s="37" t="str">
        <f>IFERROR(__xludf.DUMMYFUNCTION("""COMPUTED_VALUE"""),"http://mashable.com/2011/02/24/google-cloud-connect-2/")</f>
        <v>http://mashable.com/2011/02/24/google-cloud-connect-2/</v>
      </c>
    </row>
    <row r="73">
      <c r="C73" s="37" t="str">
        <f>IFERROR(__xludf.DUMMYFUNCTION("""COMPUTED_VALUE"""),"https://web.archive.org/web/20130317181727/https://support.google.com/a/bin/answer.py?hl=en&amp;answer=3017040")</f>
        <v>https://web.archive.org/web/20130317181727/https://support.google.com/a/bin/answer.py?hl=en&amp;answer=3017040</v>
      </c>
    </row>
    <row r="74">
      <c r="C74" s="37" t="str">
        <f>IFERROR(__xludf.DUMMYFUNCTION("""COMPUTED_VALUE"""),"https://support.google.com/a/bin/answer.py?hl=en&amp;answer=3017040")</f>
        <v>https://support.google.com/a/bin/answer.py?hl=en&amp;answer=3017040</v>
      </c>
    </row>
    <row r="75">
      <c r="C75" s="37" t="str">
        <f>IFERROR(__xludf.DUMMYFUNCTION("""COMPUTED_VALUE"""),"https://www.marktechpost.com/2022/12/13/google-unveils-a-new-machine-learning-add-on-for-google-sheets-called-simple-ml-for-sheets-which-allows-users-to-leverage-the-power-of-machine-learning-without-any-coding-experience/")</f>
        <v>https://www.marktechpost.com/2022/12/13/google-unveils-a-new-machine-learning-add-on-for-google-sheets-called-simple-ml-for-sheets-which-allows-users-to-leverage-the-power-of-machine-learning-without-any-coding-experience/</v>
      </c>
    </row>
    <row r="76">
      <c r="C76" s="37" t="str">
        <f>IFERROR(__xludf.DUMMYFUNCTION("""COMPUTED_VALUE"""),"https://www.google.com/sheets/about/")</f>
        <v>https://www.google.com/sheets/about/</v>
      </c>
    </row>
    <row r="77">
      <c r="C77" s="37" t="str">
        <f>IFERROR(__xludf.DUMMYFUNCTION("""COMPUTED_VALUE"""),"https://wikimediafoundation.org/")</f>
        <v>https://wikimediafoundation.org/</v>
      </c>
    </row>
  </sheetData>
  <hyperlinks>
    <hyperlink r:id="rId1" ref="F4"/>
    <hyperlink r:id="rId2" ref="C13"/>
    <hyperlink r:id="rId3" ref="C14"/>
    <hyperlink r:id="rId4" ref="C15"/>
    <hyperlink r:id="rId5" ref="C16"/>
    <hyperlink r:id="rId6" ref="C17"/>
    <hyperlink r:id="rId7" ref="C18"/>
    <hyperlink r:id="rId8" ref="C19"/>
    <hyperlink r:id="rId9" ref="C20"/>
    <hyperlink r:id="rId10" ref="C21"/>
    <hyperlink r:id="rId11" ref="C22"/>
    <hyperlink r:id="rId12" ref="C23"/>
    <hyperlink r:id="rId13" ref="C24"/>
    <hyperlink r:id="rId14" ref="C25"/>
    <hyperlink r:id="rId15" ref="C26"/>
    <hyperlink r:id="rId16" ref="C27"/>
    <hyperlink r:id="rId17" ref="C28"/>
    <hyperlink r:id="rId18" ref="C29"/>
    <hyperlink r:id="rId19" ref="C30"/>
    <hyperlink r:id="rId20" ref="C31"/>
    <hyperlink r:id="rId21" ref="C32"/>
    <hyperlink r:id="rId22" ref="C33"/>
    <hyperlink r:id="rId23" ref="C34"/>
    <hyperlink r:id="rId24" ref="C35"/>
    <hyperlink r:id="rId25" ref="C36"/>
    <hyperlink r:id="rId26" ref="C37"/>
    <hyperlink r:id="rId27" ref="C38"/>
    <hyperlink r:id="rId28" ref="C39"/>
    <hyperlink r:id="rId29" ref="C40"/>
    <hyperlink r:id="rId30" ref="C41"/>
    <hyperlink r:id="rId31" ref="C42"/>
    <hyperlink r:id="rId32" ref="C43"/>
    <hyperlink r:id="rId33" ref="C44"/>
    <hyperlink r:id="rId34" ref="C45"/>
    <hyperlink r:id="rId35" ref="C46"/>
    <hyperlink r:id="rId36" ref="C47"/>
    <hyperlink r:id="rId37" ref="C48"/>
    <hyperlink r:id="rId38" ref="C49"/>
    <hyperlink r:id="rId39" ref="C50"/>
    <hyperlink r:id="rId40" ref="C51"/>
    <hyperlink r:id="rId41" ref="C52"/>
    <hyperlink r:id="rId42" ref="C53"/>
    <hyperlink r:id="rId43" ref="C54"/>
    <hyperlink r:id="rId44" ref="C55"/>
    <hyperlink r:id="rId45" ref="C56"/>
    <hyperlink r:id="rId46" ref="C57"/>
    <hyperlink r:id="rId47" ref="C58"/>
    <hyperlink r:id="rId48" ref="C59"/>
    <hyperlink r:id="rId49" ref="C60"/>
    <hyperlink r:id="rId50" ref="C61"/>
    <hyperlink r:id="rId51" ref="C62"/>
    <hyperlink r:id="rId52" ref="C63"/>
    <hyperlink r:id="rId53" ref="C64"/>
    <hyperlink r:id="rId54" ref="C65"/>
    <hyperlink r:id="rId55" ref="C66"/>
    <hyperlink r:id="rId56" ref="C67"/>
    <hyperlink r:id="rId57" ref="C68"/>
    <hyperlink r:id="rId58" ref="C69"/>
    <hyperlink r:id="rId59" ref="C70"/>
    <hyperlink r:id="rId60" ref="C71"/>
    <hyperlink r:id="rId61" ref="C72"/>
    <hyperlink r:id="rId62" ref="C73"/>
    <hyperlink r:id="rId63" ref="C74"/>
    <hyperlink r:id="rId64" ref="C75"/>
    <hyperlink r:id="rId65" ref="C76"/>
    <hyperlink r:id="rId66" ref="C77"/>
  </hyperlinks>
  <drawing r:id="rId6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6.88"/>
    <col customWidth="1" min="4" max="4" width="2.75"/>
    <col customWidth="1" min="5" max="5" width="16.0"/>
    <col customWidth="1" min="6" max="10" width="10.13"/>
    <col customWidth="1" min="11" max="11" width="3.0"/>
    <col customWidth="1" min="12" max="12" width="2.75"/>
    <col customWidth="1" min="13" max="13" width="13.88"/>
    <col customWidth="1" min="15" max="15" width="8.38"/>
    <col customWidth="1" min="16" max="16" width="15.38"/>
  </cols>
  <sheetData>
    <row r="1">
      <c r="A1" s="17" t="s">
        <v>11</v>
      </c>
      <c r="B1" s="18"/>
      <c r="C1" s="18"/>
      <c r="D1" s="18"/>
      <c r="E1" s="18"/>
      <c r="F1" s="18"/>
      <c r="G1" s="18"/>
      <c r="L1" s="39"/>
    </row>
    <row r="2">
      <c r="L2" s="39"/>
      <c r="M2" s="26">
        <f>IFERROR(__xludf.DUMMYFUNCTION("GOOGLEFINANCE(""CURRENCY:EURUSD"")"),1.1635799999999998)</f>
        <v>1.16358</v>
      </c>
      <c r="N2" s="23" t="s">
        <v>52</v>
      </c>
    </row>
    <row r="3">
      <c r="A3" s="23" t="s">
        <v>53</v>
      </c>
      <c r="B3" s="26" t="str">
        <f>IFERROR(__xludf.DUMMYFUNCTION("GOOGLEFINANCE(A3,""name"")"),"Tesla Inc")</f>
        <v>Tesla Inc</v>
      </c>
      <c r="C3" s="26">
        <f>IFERROR(__xludf.DUMMYFUNCTION("GOOGLEFINANCE(A3,""price"")"),426.01)</f>
        <v>426.01</v>
      </c>
      <c r="E3" s="8" t="str">
        <f>IFERROR(__xludf.DUMMYFUNCTION("GOOGLEFINANCE(A3,""all"",""1/1/2020"",""6/1/2020"",""weekly"")"),"#N/A")</f>
        <v>#N/A</v>
      </c>
      <c r="F3" s="8"/>
      <c r="G3" s="8"/>
      <c r="H3" s="8"/>
      <c r="I3" s="8"/>
      <c r="J3" s="8"/>
      <c r="L3" s="39"/>
    </row>
    <row r="4">
      <c r="A4" s="23" t="s">
        <v>54</v>
      </c>
      <c r="B4" s="26" t="str">
        <f>IFERROR(__xludf.DUMMYFUNCTION("GOOGLEFINANCE(A4,""name"")"),"Vanguard 500 Index Fund Investor Shares")</f>
        <v>Vanguard 500 Index Fund Investor Shares</v>
      </c>
      <c r="C4" s="26">
        <f>IFERROR(__xludf.DUMMYFUNCTION("GOOGLEFINANCE(A4,""price"")"),690.79)</f>
        <v>690.79</v>
      </c>
      <c r="L4" s="39"/>
    </row>
    <row r="5">
      <c r="L5" s="39"/>
      <c r="M5" s="40" t="s">
        <v>55</v>
      </c>
      <c r="N5" s="22" t="s">
        <v>56</v>
      </c>
    </row>
    <row r="6">
      <c r="L6" s="39"/>
      <c r="M6" s="23" t="s">
        <v>56</v>
      </c>
      <c r="N6" s="26" t="str">
        <f>IFERROR(__xludf.DUMMYFUNCTION("ifna(GOOGLEFINANCE(""CURRENCY:""&amp;$N$5&amp;M6),"""")"),"")</f>
        <v/>
      </c>
    </row>
    <row r="7">
      <c r="L7" s="39"/>
      <c r="M7" s="23" t="s">
        <v>57</v>
      </c>
      <c r="N7" s="26">
        <f>IFERROR(__xludf.DUMMYFUNCTION("ifna(GOOGLEFINANCE(""CURRENCY:""&amp;$N$5&amp;M7),"""")"),0.8593)</f>
        <v>0.8593</v>
      </c>
    </row>
    <row r="8">
      <c r="L8" s="39"/>
      <c r="M8" s="23" t="s">
        <v>58</v>
      </c>
      <c r="N8" s="26">
        <f>IFERROR(__xludf.DUMMYFUNCTION("ifna(GOOGLEFINANCE(""CURRENCY:""&amp;$N$5&amp;M8),"""")"),3.63665)</f>
        <v>3.63665</v>
      </c>
    </row>
    <row r="9">
      <c r="L9" s="39"/>
      <c r="M9" s="23" t="s">
        <v>59</v>
      </c>
      <c r="N9" s="26">
        <f>IFERROR(__xludf.DUMMYFUNCTION("ifna(GOOGLEFINANCE(""CURRENCY:""&amp;$N$5&amp;M9),"""")"),0.741355)</f>
        <v>0.741355</v>
      </c>
    </row>
    <row r="10">
      <c r="L10" s="39"/>
      <c r="M10" s="23" t="s">
        <v>60</v>
      </c>
      <c r="N10" s="26">
        <f>IFERROR(__xludf.DUMMYFUNCTION("ifna(GOOGLEFINANCE(""CURRENCY:""&amp;$N$5&amp;M10),"""")"),1.39451)</f>
        <v>1.39451</v>
      </c>
    </row>
    <row r="11">
      <c r="L11" s="39"/>
      <c r="M11" s="23" t="s">
        <v>61</v>
      </c>
      <c r="N11" s="26">
        <f>IFERROR(__xludf.DUMMYFUNCTION("ifna(GOOGLEFINANCE(""CURRENCY:""&amp;$N$5&amp;M11),"""")"),95.34655000000001)</f>
        <v>95.34655</v>
      </c>
    </row>
    <row r="12">
      <c r="L12" s="39"/>
      <c r="M12" s="23" t="s">
        <v>62</v>
      </c>
      <c r="N12" s="26">
        <f>IFERROR(__xludf.DUMMYFUNCTION("ifna(GOOGLEFINANCE(""CURRENCY:""&amp;$N$5&amp;M12),"""")"),1.38069)</f>
        <v>1.38069</v>
      </c>
    </row>
    <row r="13">
      <c r="L13" s="39"/>
    </row>
    <row r="14">
      <c r="L14" s="39"/>
    </row>
    <row r="15">
      <c r="L15" s="39"/>
    </row>
    <row r="16">
      <c r="L16" s="39"/>
    </row>
    <row r="17">
      <c r="L17" s="39"/>
    </row>
    <row r="18">
      <c r="L18" s="39"/>
    </row>
    <row r="19">
      <c r="L19" s="39"/>
    </row>
    <row r="20">
      <c r="L20" s="39"/>
    </row>
    <row r="21">
      <c r="L21" s="39"/>
    </row>
    <row r="22">
      <c r="L22" s="39"/>
    </row>
  </sheetData>
  <dataValidations>
    <dataValidation type="list" allowBlank="1" showErrorMessage="1" sqref="N5">
      <formula1>GOOGLEFINANCE!$M$6:$M$16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8.0"/>
    <col customWidth="1" min="3" max="3" width="24.63"/>
    <col customWidth="1" min="4" max="4" width="15.0"/>
    <col customWidth="1" min="11" max="11" width="18.38"/>
  </cols>
  <sheetData>
    <row r="1">
      <c r="A1" s="17" t="s">
        <v>12</v>
      </c>
      <c r="B1" s="18"/>
      <c r="C1" s="18"/>
      <c r="D1" s="18"/>
      <c r="E1" s="18"/>
      <c r="F1" s="18"/>
    </row>
    <row r="2">
      <c r="A2" s="23" t="s">
        <v>63</v>
      </c>
    </row>
    <row r="3">
      <c r="A3" s="23" t="s">
        <v>64</v>
      </c>
    </row>
    <row r="4">
      <c r="A4" s="7" t="s">
        <v>65</v>
      </c>
    </row>
    <row r="6">
      <c r="B6" s="41" t="s">
        <v>66</v>
      </c>
      <c r="C6" s="41" t="s">
        <v>67</v>
      </c>
      <c r="D6" s="41" t="s">
        <v>68</v>
      </c>
      <c r="E6" s="41" t="s">
        <v>69</v>
      </c>
      <c r="F6" s="41" t="s">
        <v>70</v>
      </c>
      <c r="G6" s="41" t="s">
        <v>71</v>
      </c>
      <c r="H6" s="41" t="s">
        <v>72</v>
      </c>
      <c r="I6" s="41" t="s">
        <v>73</v>
      </c>
      <c r="J6" s="41" t="s">
        <v>74</v>
      </c>
      <c r="K6" s="41" t="s">
        <v>75</v>
      </c>
    </row>
    <row r="7">
      <c r="B7" s="27" t="s">
        <v>76</v>
      </c>
      <c r="C7" s="42" t="str">
        <f>IFERROR(__xludf.DUMMYFUNCTION("iferror(GOOGLEFINANCE($B7,""name""),"""")"),"Microsoft Corp")</f>
        <v>Microsoft Corp</v>
      </c>
      <c r="D7" s="27">
        <v>200.0</v>
      </c>
      <c r="E7" s="43">
        <v>151.0</v>
      </c>
      <c r="F7" s="44">
        <f t="shared" ref="F7:F12" si="1">E7*D7</f>
        <v>30200</v>
      </c>
      <c r="G7" s="44">
        <f>IFERROR(__xludf.DUMMYFUNCTION("iferror(GOOGLEFINANCE($B7,""low52""),"""")"),356.28)</f>
        <v>356.28</v>
      </c>
      <c r="H7" s="44">
        <f>IFERROR(__xludf.DUMMYFUNCTION("iferror(GOOGLEFINANCE($B7,""high52""),"""")"),555.45)</f>
        <v>555.45</v>
      </c>
      <c r="I7" s="44">
        <f>IFERROR(__xludf.DUMMYFUNCTION("iferror(GOOGLEFINANCE($B7,""price""),"""")"),418.57)</f>
        <v>418.57</v>
      </c>
      <c r="J7" s="44">
        <f t="shared" ref="J7:J12" si="2">I7*D7</f>
        <v>83714</v>
      </c>
      <c r="K7" s="44">
        <f t="shared" ref="K7:K12" si="3">J7-F7</f>
        <v>53514</v>
      </c>
    </row>
    <row r="8">
      <c r="B8" s="27" t="s">
        <v>77</v>
      </c>
      <c r="C8" s="42" t="str">
        <f>IFERROR(__xludf.DUMMYFUNCTION("iferror(GOOGLEFINANCE($B8,""name""),"""")"),"Alphabet Inc Class C")</f>
        <v>Alphabet Inc Class C</v>
      </c>
      <c r="D8" s="27">
        <v>40.0</v>
      </c>
      <c r="E8" s="43">
        <v>1650.0</v>
      </c>
      <c r="F8" s="44">
        <f t="shared" si="1"/>
        <v>66000</v>
      </c>
      <c r="G8" s="44">
        <f>IFERROR(__xludf.DUMMYFUNCTION("iferror(GOOGLEFINANCE($B8,""low52""),"""")"),163.33)</f>
        <v>163.33</v>
      </c>
      <c r="H8" s="44">
        <f>IFERROR(__xludf.DUMMYFUNCTION("iferror(GOOGLEFINANCE($B8,""high52""),"""")"),404.44)</f>
        <v>404.44</v>
      </c>
      <c r="I8" s="44">
        <f>IFERROR(__xludf.DUMMYFUNCTION("iferror(GOOGLEFINANCE($B8,""price""),"""")"),379.38)</f>
        <v>379.38</v>
      </c>
      <c r="J8" s="44">
        <f t="shared" si="2"/>
        <v>15175.2</v>
      </c>
      <c r="K8" s="44">
        <f t="shared" si="3"/>
        <v>-50824.8</v>
      </c>
    </row>
    <row r="9">
      <c r="B9" s="27" t="s">
        <v>78</v>
      </c>
      <c r="C9" s="42" t="str">
        <f>IFERROR(__xludf.DUMMYFUNCTION("iferror(GOOGLEFINANCE($B9,""name""),"""")"),"Amazon.com Inc")</f>
        <v>Amazon.com Inc</v>
      </c>
      <c r="D9" s="27">
        <v>50.0</v>
      </c>
      <c r="E9" s="43">
        <v>2400.0</v>
      </c>
      <c r="F9" s="44">
        <f t="shared" si="1"/>
        <v>120000</v>
      </c>
      <c r="G9" s="44">
        <f>IFERROR(__xludf.DUMMYFUNCTION("iferror(GOOGLEFINANCE($B9,""low52""),"""")"),196.0)</f>
        <v>196</v>
      </c>
      <c r="H9" s="44">
        <f>IFERROR(__xludf.DUMMYFUNCTION("iferror(GOOGLEFINANCE($B9,""high52""),"""")"),278.56)</f>
        <v>278.56</v>
      </c>
      <c r="I9" s="44">
        <f>IFERROR(__xludf.DUMMYFUNCTION("iferror(GOOGLEFINANCE($B9,""price""),"""")"),266.32)</f>
        <v>266.32</v>
      </c>
      <c r="J9" s="44">
        <f t="shared" si="2"/>
        <v>13316</v>
      </c>
      <c r="K9" s="44">
        <f t="shared" si="3"/>
        <v>-106684</v>
      </c>
    </row>
    <row r="10">
      <c r="B10" s="27" t="s">
        <v>79</v>
      </c>
      <c r="C10" s="42" t="str">
        <f>IFERROR(__xludf.DUMMYFUNCTION("iferror(GOOGLEFINANCE($B10,""name""),"""")"),"Royal Caribbean Cruises Ltd")</f>
        <v>Royal Caribbean Cruises Ltd</v>
      </c>
      <c r="D10" s="27">
        <v>400.0</v>
      </c>
      <c r="E10" s="43">
        <v>115.0</v>
      </c>
      <c r="F10" s="44">
        <f t="shared" si="1"/>
        <v>46000</v>
      </c>
      <c r="G10" s="44">
        <f>IFERROR(__xludf.DUMMYFUNCTION("iferror(GOOGLEFINANCE($B10,""low52""),"""")"),232.1)</f>
        <v>232.1</v>
      </c>
      <c r="H10" s="44">
        <f>IFERROR(__xludf.DUMMYFUNCTION("iferror(GOOGLEFINANCE($B10,""high52""),"""")"),366.5)</f>
        <v>366.5</v>
      </c>
      <c r="I10" s="44">
        <f>IFERROR(__xludf.DUMMYFUNCTION("iferror(GOOGLEFINANCE($B10,""price""),"""")"),256.1)</f>
        <v>256.1</v>
      </c>
      <c r="J10" s="44">
        <f t="shared" si="2"/>
        <v>102440</v>
      </c>
      <c r="K10" s="44">
        <f t="shared" si="3"/>
        <v>56440</v>
      </c>
    </row>
    <row r="11">
      <c r="B11" s="27" t="s">
        <v>80</v>
      </c>
      <c r="C11" s="42" t="str">
        <f>IFERROR(__xludf.DUMMYFUNCTION("iferror(GOOGLEFINANCE($B11,""name""),"""")"),"United Airlines Holdings Inc")</f>
        <v>United Airlines Holdings Inc</v>
      </c>
      <c r="D11" s="27">
        <v>800.0</v>
      </c>
      <c r="E11" s="43">
        <v>82.0</v>
      </c>
      <c r="F11" s="44">
        <f t="shared" si="1"/>
        <v>65600</v>
      </c>
      <c r="G11" s="44">
        <f>IFERROR(__xludf.DUMMYFUNCTION("iferror(GOOGLEFINANCE($B11,""low52""),"""")"),71.55)</f>
        <v>71.55</v>
      </c>
      <c r="H11" s="44">
        <f>IFERROR(__xludf.DUMMYFUNCTION("iferror(GOOGLEFINANCE($B11,""high52""),"""")"),119.21)</f>
        <v>119.21</v>
      </c>
      <c r="I11" s="44">
        <f>IFERROR(__xludf.DUMMYFUNCTION("iferror(GOOGLEFINANCE($B11,""price""),"""")"),99.96)</f>
        <v>99.96</v>
      </c>
      <c r="J11" s="44">
        <f t="shared" si="2"/>
        <v>79968</v>
      </c>
      <c r="K11" s="44">
        <f t="shared" si="3"/>
        <v>14368</v>
      </c>
    </row>
    <row r="12">
      <c r="B12" s="27" t="s">
        <v>81</v>
      </c>
      <c r="C12" s="42" t="str">
        <f>IFERROR(__xludf.DUMMYFUNCTION("iferror(GOOGLEFINANCE($B12,""name""),"""")"),"American Airlines Group Inc")</f>
        <v>American Airlines Group Inc</v>
      </c>
      <c r="D12" s="27">
        <v>1500.0</v>
      </c>
      <c r="E12" s="43">
        <v>9.0</v>
      </c>
      <c r="F12" s="44">
        <f t="shared" si="1"/>
        <v>13500</v>
      </c>
      <c r="G12" s="44">
        <f>IFERROR(__xludf.DUMMYFUNCTION("iferror(GOOGLEFINANCE($B12,""low52""),"""")"),10.09)</f>
        <v>10.09</v>
      </c>
      <c r="H12" s="44">
        <f>IFERROR(__xludf.DUMMYFUNCTION("iferror(GOOGLEFINANCE($B12,""high52""),"""")"),16.5)</f>
        <v>16.5</v>
      </c>
      <c r="I12" s="44">
        <f>IFERROR(__xludf.DUMMYFUNCTION("iferror(GOOGLEFINANCE($B12,""price""),"""")"),13.85)</f>
        <v>13.85</v>
      </c>
      <c r="J12" s="44">
        <f t="shared" si="2"/>
        <v>20775</v>
      </c>
      <c r="K12" s="44">
        <f t="shared" si="3"/>
        <v>7275</v>
      </c>
    </row>
    <row r="13">
      <c r="B13" s="20"/>
      <c r="C13" s="20"/>
      <c r="D13" s="20"/>
      <c r="E13" s="20"/>
      <c r="F13" s="45">
        <f>SUM(F7:F12)</f>
        <v>341300</v>
      </c>
      <c r="G13" s="20"/>
      <c r="H13" s="20"/>
      <c r="I13" s="20"/>
      <c r="J13" s="45">
        <f t="shared" ref="J13:K13" si="4">SUM(J7:J12)</f>
        <v>315388.2</v>
      </c>
      <c r="K13" s="45">
        <f t="shared" si="4"/>
        <v>-25911.8</v>
      </c>
    </row>
  </sheetData>
  <conditionalFormatting sqref="K7:K12">
    <cfRule type="cellIs" dxfId="3" priority="1" operator="lessThan">
      <formula>0</formula>
    </cfRule>
  </conditionalFormatting>
  <drawing r:id="rId2"/>
  <legacyDrawing r:id="rId3"/>
</worksheet>
</file>